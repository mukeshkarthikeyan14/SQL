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9272766E-8631-42C2-9022-29B99BE107D5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Project Overview" sheetId="1" r:id="rId1"/>
    <sheet name="Requirements" sheetId="2" r:id="rId2"/>
    <sheet name="Task Plan" sheetId="3" r:id="rId3"/>
    <sheet name="Daily Plan" sheetId="4" r:id="rId4"/>
    <sheet name="Test Cases" sheetId="5" r:id="rId5"/>
    <sheet name="Data Dictionary" sheetId="6" r:id="rId6"/>
    <sheet name="Dashboard" sheetId="7" r:id="rId7"/>
    <sheet name="Risks &amp; Decisions" sheetId="8" r:id="rId8"/>
    <sheet name="Resume Notes" sheetId="9" r:id="rId9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B32" i="7"/>
  <c r="B31" i="7"/>
  <c r="B30" i="7"/>
  <c r="B29" i="7"/>
  <c r="F24" i="7"/>
  <c r="E24" i="7"/>
  <c r="C24" i="7"/>
  <c r="B24" i="7"/>
  <c r="F23" i="7"/>
  <c r="E23" i="7"/>
  <c r="C23" i="7"/>
  <c r="B23" i="7"/>
  <c r="F22" i="7"/>
  <c r="E22" i="7"/>
  <c r="C22" i="7"/>
  <c r="B22" i="7"/>
  <c r="F21" i="7"/>
  <c r="E21" i="7"/>
  <c r="C21" i="7"/>
  <c r="B21" i="7"/>
  <c r="F20" i="7"/>
  <c r="E20" i="7"/>
  <c r="C20" i="7"/>
  <c r="B20" i="7"/>
  <c r="F19" i="7"/>
  <c r="E19" i="7"/>
  <c r="C19" i="7"/>
  <c r="B19" i="7"/>
  <c r="F18" i="7"/>
  <c r="E18" i="7"/>
  <c r="C18" i="7"/>
  <c r="B18" i="7"/>
  <c r="F17" i="7"/>
  <c r="E17" i="7"/>
  <c r="C17" i="7"/>
  <c r="B17" i="7"/>
  <c r="F16" i="7"/>
  <c r="E16" i="7"/>
  <c r="C16" i="7"/>
  <c r="B16" i="7"/>
  <c r="F15" i="7"/>
  <c r="E15" i="7"/>
  <c r="C15" i="7"/>
  <c r="B15" i="7"/>
  <c r="B11" i="7"/>
  <c r="B10" i="7"/>
  <c r="B9" i="7"/>
  <c r="B8" i="7"/>
  <c r="B7" i="7"/>
  <c r="B6" i="7"/>
  <c r="B5" i="7"/>
  <c r="B4" i="7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D15" i="7" l="1"/>
  <c r="D16" i="7"/>
  <c r="D17" i="7"/>
  <c r="D18" i="7"/>
  <c r="D19" i="7"/>
  <c r="D20" i="7"/>
  <c r="D21" i="7"/>
  <c r="D22" i="7"/>
  <c r="D23" i="7"/>
  <c r="D24" i="7"/>
</calcChain>
</file>

<file path=xl/sharedStrings.xml><?xml version="1.0" encoding="utf-8"?>
<sst xmlns="http://schemas.openxmlformats.org/spreadsheetml/2006/main" count="6860" uniqueCount="2092">
  <si>
    <t>Senior SQL Practice Project: Global Logistics Data Warehouse</t>
  </si>
  <si>
    <t>Project Type</t>
  </si>
  <si>
    <t>Self-directed portfolio and interview practice project</t>
  </si>
  <si>
    <t>Target Role</t>
  </si>
  <si>
    <t>Senior Azure Data Engineer, approximately 6-year capability level</t>
  </si>
  <si>
    <t>Business Scenario</t>
  </si>
  <si>
    <t>Build a SQL data warehouse for global logistics orders, shipments, customer history, revenue, delay analysis, incremental loading, performance tuning, and reconciliation.</t>
  </si>
  <si>
    <t>Practice Commitment</t>
  </si>
  <si>
    <t>2 to 3 hours per working day</t>
  </si>
  <si>
    <t>Database Recommendation</t>
  </si>
  <si>
    <t>SQL Server Developer Edition or Azure SQL Database</t>
  </si>
  <si>
    <t>Delivery Method</t>
  </si>
  <si>
    <t>Complete phases sequentially; record evidence, test results, and design decisions.</t>
  </si>
  <si>
    <t>Important Resume Note</t>
  </si>
  <si>
    <t>Describe this as a personal or portfolio project unless implemented for a real client. Do not present synthetic volumes or outcomes as production facts.</t>
  </si>
  <si>
    <t>Business Outcomes</t>
  </si>
  <si>
    <t>• Design a defensible star schema with explicit fact-table grain.</t>
  </si>
  <si>
    <t>• Implement dimensions and facts with auditability and unknown-member handling.</t>
  </si>
  <si>
    <t>• Implement SCD Type 2 customer history.</t>
  </si>
  <si>
    <t>• Produce revenue, growth, ranking, delivery-delay, and trend analytics.</t>
  </si>
  <si>
    <t>• Build restartable incremental loading using a watermark and batch-control pattern.</t>
  </si>
  <si>
    <t>• Investigate and optimize large-table query performance.</t>
  </si>
  <si>
    <t>• Reconcile revenue and document root-cause evidence.</t>
  </si>
  <si>
    <t>• Package scripts, tests, diagrams, runbooks, and portfolio evidence.</t>
  </si>
  <si>
    <t>Workbook Guide</t>
  </si>
  <si>
    <t>Requirements</t>
  </si>
  <si>
    <t>Detailed business, functional, non-functional, data, and acceptance requirements.</t>
  </si>
  <si>
    <t>Task Plan</t>
  </si>
  <si>
    <t>Small implementation tasks with planned hours, dependencies, deliverables, status, and completion.</t>
  </si>
  <si>
    <t>Daily Plan</t>
  </si>
  <si>
    <t>A formula-driven 2 to 3 hour working-day schedule.</t>
  </si>
  <si>
    <t>Test Cases</t>
  </si>
  <si>
    <t>Functional, data-quality, reconciliation, failure-recovery, and performance tests.</t>
  </si>
  <si>
    <t>Data Dictionary</t>
  </si>
  <si>
    <t>Source and warehouse object/column definitions.</t>
  </si>
  <si>
    <t>Dashboard</t>
  </si>
  <si>
    <t>Overall progress, planned hours, test progress, and phase charts.</t>
  </si>
  <si>
    <t>Risks &amp; Decisions</t>
  </si>
  <si>
    <t>Architecture risks, mitigations, assumptions, and decision log.</t>
  </si>
  <si>
    <t>Resume Notes</t>
  </si>
  <si>
    <t>Honest portfolio wording and interview discussion points.</t>
  </si>
  <si>
    <t>Detailed Requirements Register</t>
  </si>
  <si>
    <t>Requirement ID</t>
  </si>
  <si>
    <t>Phase</t>
  </si>
  <si>
    <t>Category</t>
  </si>
  <si>
    <t>Requirement</t>
  </si>
  <si>
    <t>Detailed Description</t>
  </si>
  <si>
    <t>Priority</t>
  </si>
  <si>
    <t>Acceptance Criteria</t>
  </si>
  <si>
    <t>Deliverable</t>
  </si>
  <si>
    <t>REQ-001</t>
  </si>
  <si>
    <t>1 - Warehouse Modeling</t>
  </si>
  <si>
    <t>Business</t>
  </si>
  <si>
    <t>Confirm analytical scope</t>
  </si>
  <si>
    <t>Define revenue, customer, product, location, order, shipment and calendar analysis required by stakeholders.</t>
  </si>
  <si>
    <t>Must</t>
  </si>
  <si>
    <t>Scope explicitly lists included metrics and excluded scenarios.</t>
  </si>
  <si>
    <t>Scope document</t>
  </si>
  <si>
    <t>REQ-002</t>
  </si>
  <si>
    <t>Modeling</t>
  </si>
  <si>
    <t>Declare FactOrders grain</t>
  </si>
  <si>
    <t>Define one row per order line, represented by OrderID plus OrderLineNumber. ProductID alone is insufficient if the same product can appear more than once in an order.</t>
  </si>
  <si>
    <t>Grain statement is written before table design and every fact column conforms to it.</t>
  </si>
  <si>
    <t>Grain statement</t>
  </si>
  <si>
    <t>REQ-003</t>
  </si>
  <si>
    <t>Declare FactShipment grain</t>
  </si>
  <si>
    <t>Define one row per shipment event or shipment record. Document treatment of split shipments and multiple delivery attempts.</t>
  </si>
  <si>
    <t>Grain and business key are unambiguous.</t>
  </si>
  <si>
    <t>Shipment grain statement</t>
  </si>
  <si>
    <t>REQ-004</t>
  </si>
  <si>
    <t>Design star schema</t>
  </si>
  <si>
    <t>Create FactOrders, FactShipment, DimCustomer, DimProduct, DimDate and DimLocation relationships.</t>
  </si>
  <si>
    <t>Diagram shows PK/FK relationships and no unresolved many-to-many relationship.</t>
  </si>
  <si>
    <t>ERD/star schema</t>
  </si>
  <si>
    <t>REQ-005</t>
  </si>
  <si>
    <t>Keys</t>
  </si>
  <si>
    <t>Use surrogate keys</t>
  </si>
  <si>
    <t>Use integer/bigint surrogate keys for warehouse dimensions while retaining source business keys.</t>
  </si>
  <si>
    <t>Facts reference surrogate keys; source keys remain available for traceability.</t>
  </si>
  <si>
    <t>DDL design</t>
  </si>
  <si>
    <t>REQ-006</t>
  </si>
  <si>
    <t>Create unknown members</t>
  </si>
  <si>
    <t>Insert key 0 or -1 rows for unknown customer, product, date or location where applicable.</t>
  </si>
  <si>
    <t>Unmatched source rows load without null dimension foreign keys and are reportable.</t>
  </si>
  <si>
    <t>Unknown-member script</t>
  </si>
  <si>
    <t>REQ-007</t>
  </si>
  <si>
    <t>Data</t>
  </si>
  <si>
    <t>Define additive measures</t>
  </si>
  <si>
    <t>Store Quantity, GrossAmount, DiscountAmount, NetAmount, CostAmount and FreightAllocatedAmount at the declared grain where available.</t>
  </si>
  <si>
    <t>Should</t>
  </si>
  <si>
    <t>Each measure has a definition and aggregation behavior.</t>
  </si>
  <si>
    <t>Measure catalogue</t>
  </si>
  <si>
    <t>REQ-008</t>
  </si>
  <si>
    <t>Audit</t>
  </si>
  <si>
    <t>Add audit columns</t>
  </si>
  <si>
    <t>Include BatchID, SourceSystem, SourceModifiedDate, InsertedDateTime and UpdatedDateTime where applicable.</t>
  </si>
  <si>
    <t>Every loaded row can be traced to a batch and source.</t>
  </si>
  <si>
    <t>Audit-column standard</t>
  </si>
  <si>
    <t>REQ-009</t>
  </si>
  <si>
    <t>Role-playing date dimensions</t>
  </si>
  <si>
    <t>Represent OrderDate, ShipmentDate and DeliveryDate through separate foreign keys to DimDate.</t>
  </si>
  <si>
    <t>Date roles are clear and joins return correct calendar attributes.</t>
  </si>
  <si>
    <t>Date-key design</t>
  </si>
  <si>
    <t>REQ-010</t>
  </si>
  <si>
    <t>Data Quality</t>
  </si>
  <si>
    <t>Enforce key integrity</t>
  </si>
  <si>
    <t>Define PK, unique business-key constraints where practical, and FK strategy.</t>
  </si>
  <si>
    <t>Duplicate dimension business keys and orphan fact keys are detected.</t>
  </si>
  <si>
    <t>Constraint script</t>
  </si>
  <si>
    <t>REQ-011</t>
  </si>
  <si>
    <t>2 - SCD Type 2</t>
  </si>
  <si>
    <t>History</t>
  </si>
  <si>
    <t>Track customer changes</t>
  </si>
  <si>
    <t>Track City, Country and CustomerType changes while preserving prior values.</t>
  </si>
  <si>
    <t>A changed tracked attribute expires the old row and creates one new current row.</t>
  </si>
  <si>
    <t>SCD procedure</t>
  </si>
  <si>
    <t>REQ-012</t>
  </si>
  <si>
    <t>Ignore non-changing records</t>
  </si>
  <si>
    <t>Do not create a new dimension version when tracked values are unchanged.</t>
  </si>
  <si>
    <t>Reprocessing identical source produces no extra versions.</t>
  </si>
  <si>
    <t>Idempotency evidence</t>
  </si>
  <si>
    <t>REQ-013</t>
  </si>
  <si>
    <t>Handle new customers</t>
  </si>
  <si>
    <t>Insert first version with EffectiveFrom, open-ended EffectiveTo and IsCurrent=1.</t>
  </si>
  <si>
    <t>New business key has exactly one current row.</t>
  </si>
  <si>
    <t>Insert logic</t>
  </si>
  <si>
    <t>REQ-014</t>
  </si>
  <si>
    <t>Close prior version</t>
  </si>
  <si>
    <t>Expire old row immediately before the new version starts using the selected timestamp convention.</t>
  </si>
  <si>
    <t>No overlap exists in effective date ranges.</t>
  </si>
  <si>
    <t>Expiry logic</t>
  </si>
  <si>
    <t>REQ-015</t>
  </si>
  <si>
    <t>Maintain current-row uniqueness</t>
  </si>
  <si>
    <t>Ensure no CustomerID has more than one IsCurrent=1 row.</t>
  </si>
  <si>
    <t>Uniqueness test returns zero violations.</t>
  </si>
  <si>
    <t>Uniqueness test</t>
  </si>
  <si>
    <t>REQ-016</t>
  </si>
  <si>
    <t>Null-safe comparison</t>
  </si>
  <si>
    <t>Treat null-to-value, value-to-null and value-to-different-value as changes.</t>
  </si>
  <si>
    <t>All null transition tests pass.</t>
  </si>
  <si>
    <t>Comparison logic</t>
  </si>
  <si>
    <t>REQ-017</t>
  </si>
  <si>
    <t>Late Data</t>
  </si>
  <si>
    <t>Define late-arriving customer handling</t>
  </si>
  <si>
    <t>Document what happens when a fact arrives before its customer dimension record.</t>
  </si>
  <si>
    <t>Fact initially uses unknown key and has a documented correction process.</t>
  </si>
  <si>
    <t>Late-arriving runbook</t>
  </si>
  <si>
    <t>REQ-018</t>
  </si>
  <si>
    <t>Capture change metadata</t>
  </si>
  <si>
    <t>Store source modified timestamp and load batch identifier for every version.</t>
  </si>
  <si>
    <t>Version history is traceable to source and batch.</t>
  </si>
  <si>
    <t>Audit query</t>
  </si>
  <si>
    <t>REQ-019</t>
  </si>
  <si>
    <t>3 - Revenue Analytics</t>
  </si>
  <si>
    <t>Metric</t>
  </si>
  <si>
    <t>Define revenue</t>
  </si>
  <si>
    <t>Document whether revenue means gross, net, invoiced, recognized, local-currency or reporting-currency revenue.</t>
  </si>
  <si>
    <t>One approved SQL expression defines the metric.</t>
  </si>
  <si>
    <t>Metric definition</t>
  </si>
  <si>
    <t>REQ-020</t>
  </si>
  <si>
    <t>Analytics</t>
  </si>
  <si>
    <t>Monthly customer revenue</t>
  </si>
  <si>
    <t>Aggregate revenue by customer and calendar month.</t>
  </si>
  <si>
    <t>Result reconciles to the fact table for the same filters.</t>
  </si>
  <si>
    <t>Revenue view</t>
  </si>
  <si>
    <t>REQ-021</t>
  </si>
  <si>
    <t>Previous month comparison</t>
  </si>
  <si>
    <t>Use LAG to retrieve prior calendar-month revenue for each customer.</t>
  </si>
  <si>
    <t>January-to-December boundary works correctly.</t>
  </si>
  <si>
    <t>Growth query</t>
  </si>
  <si>
    <t>REQ-022</t>
  </si>
  <si>
    <t>Growth percentage</t>
  </si>
  <si>
    <t>Calculate growth with divide-by-zero and absent-prior-month handling.</t>
  </si>
  <si>
    <t>No divide-by-zero error; documented null/zero rules are applied.</t>
  </si>
  <si>
    <t>Growth calculation</t>
  </si>
  <si>
    <t>REQ-023</t>
  </si>
  <si>
    <t>Zero-activity month handling</t>
  </si>
  <si>
    <t>Choose whether missing months are absent or generated with a date scaffold.</t>
  </si>
  <si>
    <t>Output follows the documented reporting behavior.</t>
  </si>
  <si>
    <t>Calendar scaffold logic</t>
  </si>
  <si>
    <t>REQ-024</t>
  </si>
  <si>
    <t>Revenue trend</t>
  </si>
  <si>
    <t>Produce month, quarter and year trend outputs.</t>
  </si>
  <si>
    <t>Totals remain consistent across hierarchy levels.</t>
  </si>
  <si>
    <t>Trend view</t>
  </si>
  <si>
    <t>REQ-025</t>
  </si>
  <si>
    <t>Currency</t>
  </si>
  <si>
    <t>Reporting currency rule</t>
  </si>
  <si>
    <t>If multiple currencies exist, define exchange-rate date and conversion logic rather than summing currencies directly.</t>
  </si>
  <si>
    <t>Cross-currency totals only appear after conversion.</t>
  </si>
  <si>
    <t>Currency design note</t>
  </si>
  <si>
    <t>REQ-026</t>
  </si>
  <si>
    <t>4 - Deduplication</t>
  </si>
  <si>
    <t>Quality</t>
  </si>
  <si>
    <t>Identify duplicate order events</t>
  </si>
  <si>
    <t>Profile duplicate frequency by OrderID and OrderLineNumber.</t>
  </si>
  <si>
    <t>Duplicate counts and affected keys are reported.</t>
  </si>
  <si>
    <t>Profiling query</t>
  </si>
  <si>
    <t>REQ-027</t>
  </si>
  <si>
    <t>Define survivor rule</t>
  </si>
  <si>
    <t>Keep the record with greatest SourceModifiedDate, then IngestionDateTime, then deterministic tie-breaker.</t>
  </si>
  <si>
    <t>Exactly one survivor exists per business key.</t>
  </si>
  <si>
    <t>Survivorship rule</t>
  </si>
  <si>
    <t>REQ-028</t>
  </si>
  <si>
    <t>Implement ROW_NUMBER</t>
  </si>
  <si>
    <t>Use partitioned ROW_NUMBER to select the survivor.</t>
  </si>
  <si>
    <t>Dedup output has no duplicate natural keys.</t>
  </si>
  <si>
    <t>Dedup view/procedure</t>
  </si>
  <si>
    <t>REQ-029</t>
  </si>
  <si>
    <t>Quarantine rejected rows</t>
  </si>
  <si>
    <t>Persist discarded duplicates with rejection reason and batch details.</t>
  </si>
  <si>
    <t>Rejected rows can be audited and replayed.</t>
  </si>
  <si>
    <t>Reject table</t>
  </si>
  <si>
    <t>REQ-030</t>
  </si>
  <si>
    <t>Ensure idempotency</t>
  </si>
  <si>
    <t>Rerunning the same batch must not create additional target rows.</t>
  </si>
  <si>
    <t>Row counts remain unchanged after rerun.</t>
  </si>
  <si>
    <t>Rerun evidence</t>
  </si>
  <si>
    <t>REQ-031</t>
  </si>
  <si>
    <t>Handle exact ties</t>
  </si>
  <si>
    <t>Use a deterministic final tie-breaker when timestamps are equal.</t>
  </si>
  <si>
    <t>Repeated execution selects the same row.</t>
  </si>
  <si>
    <t>Tie-break test</t>
  </si>
  <si>
    <t>REQ-032</t>
  </si>
  <si>
    <t>5 - Delivery Delay</t>
  </si>
  <si>
    <t>Define delivery duration</t>
  </si>
  <si>
    <t>Calculate delivery days from ShipmentDate to DeliveryDate using an agreed calendar-day or business-day rule.</t>
  </si>
  <si>
    <t>Rule and SQL expression are documented.</t>
  </si>
  <si>
    <t>Delay definition</t>
  </si>
  <si>
    <t>REQ-033</t>
  </si>
  <si>
    <t>Identify late delivery</t>
  </si>
  <si>
    <t>Flag delivery duration greater than 7 days as late.</t>
  </si>
  <si>
    <t>Boundary checks for day 7 and day 8 pass.</t>
  </si>
  <si>
    <t>Late flag</t>
  </si>
  <si>
    <t>REQ-034</t>
  </si>
  <si>
    <t>Create non-overlapping buckets</t>
  </si>
  <si>
    <t>Use 0-3, 4-7, 8-15 and 16+ days, avoiding overlap in the original 15+ wording.</t>
  </si>
  <si>
    <t>Every non-negative duration maps to exactly one bucket.</t>
  </si>
  <si>
    <t>Bucket expression</t>
  </si>
  <si>
    <t>REQ-035</t>
  </si>
  <si>
    <t>Handle undelivered shipments</t>
  </si>
  <si>
    <t>Classify null DeliveryDate separately as In Transit or Undelivered.</t>
  </si>
  <si>
    <t>Null date does not appear as zero delay.</t>
  </si>
  <si>
    <t>Null-handling logic</t>
  </si>
  <si>
    <t>REQ-036</t>
  </si>
  <si>
    <t>Handle invalid chronology</t>
  </si>
  <si>
    <t>Reject or flag DeliveryDate earlier than ShipmentDate.</t>
  </si>
  <si>
    <t>Negative duration is visible as a data-quality exception.</t>
  </si>
  <si>
    <t>DQ rule</t>
  </si>
  <si>
    <t>REQ-037</t>
  </si>
  <si>
    <t>Delay KPI output</t>
  </si>
  <si>
    <t>Report delayed shipment count, percentage, average days and bucket distribution.</t>
  </si>
  <si>
    <t>KPI denominators are documented and reconcilable.</t>
  </si>
  <si>
    <t>Delay view</t>
  </si>
  <si>
    <t>REQ-038</t>
  </si>
  <si>
    <t>6 - Top Customers</t>
  </si>
  <si>
    <t>Rank within country</t>
  </si>
  <si>
    <t>Rank customers by revenue separately within each country.</t>
  </si>
  <si>
    <t>Each country begins at rank 1.</t>
  </si>
  <si>
    <t>Ranking query</t>
  </si>
  <si>
    <t>REQ-039</t>
  </si>
  <si>
    <t>Top 10 per country</t>
  </si>
  <si>
    <t>Return customers whose rank is 10 or lower.</t>
  </si>
  <si>
    <t>No country returns rank above 10.</t>
  </si>
  <si>
    <t>Top-customer view</t>
  </si>
  <si>
    <t>REQ-040</t>
  </si>
  <si>
    <t>Define tie behavior</t>
  </si>
  <si>
    <t>Select RANK or DENSE_RANK and document whether ties can return more than 10 rows.</t>
  </si>
  <si>
    <t>Tie test matches documented behavior.</t>
  </si>
  <si>
    <t>Tie decision</t>
  </si>
  <si>
    <t>REQ-041</t>
  </si>
  <si>
    <t>Use transaction-time geography</t>
  </si>
  <si>
    <t>Attribute the sale to the customer/location version valid on the order date.</t>
  </si>
  <si>
    <t>Historical country does not change when the customer later moves.</t>
  </si>
  <si>
    <t>Temporal join</t>
  </si>
  <si>
    <t>REQ-042</t>
  </si>
  <si>
    <t>Parameterize period</t>
  </si>
  <si>
    <t>Allow ranking for a selected date range.</t>
  </si>
  <si>
    <t>Date filters are sargable and totals reconcile.</t>
  </si>
  <si>
    <t>Parameterized procedure/view</t>
  </si>
  <si>
    <t>REQ-043</t>
  </si>
  <si>
    <t>7 - Incremental Load</t>
  </si>
  <si>
    <t>Control</t>
  </si>
  <si>
    <t>Create watermark table</t>
  </si>
  <si>
    <t>Store PipelineName, SourceObject, LastSuccessfulWatermark, LastBatchID, Status and update timestamp.</t>
  </si>
  <si>
    <t>Each load has a recoverable control state.</t>
  </si>
  <si>
    <t>Watermark table</t>
  </si>
  <si>
    <t>REQ-044</t>
  </si>
  <si>
    <t>Extraction</t>
  </si>
  <si>
    <t>Read bounded source window</t>
  </si>
  <si>
    <t>Capture high watermark at run start and extract greater than previous watermark and less than or equal to high watermark.</t>
  </si>
  <si>
    <t>Concurrent source changes are deferred safely to the next run.</t>
  </si>
  <si>
    <t>Extraction query</t>
  </si>
  <si>
    <t>REQ-045</t>
  </si>
  <si>
    <t>Advance only on success</t>
  </si>
  <si>
    <t>Update the successful watermark only after target transaction and validations succeed.</t>
  </si>
  <si>
    <t>Failed run leaves previous successful watermark unchanged.</t>
  </si>
  <si>
    <t>Commit logic</t>
  </si>
  <si>
    <t>REQ-046</t>
  </si>
  <si>
    <t>Recovery</t>
  </si>
  <si>
    <t>Support restart</t>
  </si>
  <si>
    <t>Reuse or safely regenerate batch state after failure without duplication.</t>
  </si>
  <si>
    <t>Injected failure can be rerun to a correct final state.</t>
  </si>
  <si>
    <t>Restart procedure</t>
  </si>
  <si>
    <t>REQ-047</t>
  </si>
  <si>
    <t>Persist batch metrics</t>
  </si>
  <si>
    <t>Record extracted, inserted, updated, rejected and target counts.</t>
  </si>
  <si>
    <t>Batch-control totals reconcile.</t>
  </si>
  <si>
    <t>Batch audit table</t>
  </si>
  <si>
    <t>REQ-048</t>
  </si>
  <si>
    <t>Deletion</t>
  </si>
  <si>
    <t>Define source-delete strategy</t>
  </si>
  <si>
    <t>Choose soft delete, tombstone, CDC or periodic reconciliation.</t>
  </si>
  <si>
    <t>Deleted-source behavior is documented and tested.</t>
  </si>
  <si>
    <t>Delete strategy</t>
  </si>
  <si>
    <t>REQ-049</t>
  </si>
  <si>
    <t>Apply lookback window</t>
  </si>
  <si>
    <t>Optionally reread a configurable historical period to catch late updates, while preserving idempotency.</t>
  </si>
  <si>
    <t>Late update is captured without duplicates.</t>
  </si>
  <si>
    <t>Lookback logic</t>
  </si>
  <si>
    <t>REQ-050</t>
  </si>
  <si>
    <t>Concurrency</t>
  </si>
  <si>
    <t>Prevent overlapping runs</t>
  </si>
  <si>
    <t>Use an application lock or run-status check so the same pipeline cannot overlap unsafely.</t>
  </si>
  <si>
    <t>Second concurrent run is blocked or exits safely.</t>
  </si>
  <si>
    <t>Concurrency control</t>
  </si>
  <si>
    <t>REQ-051</t>
  </si>
  <si>
    <t>Operations</t>
  </si>
  <si>
    <t>Create operational logging</t>
  </si>
  <si>
    <t>Capture start/end time, status, error message and executed procedure.</t>
  </si>
  <si>
    <t>Failed batch has actionable diagnostics.</t>
  </si>
  <si>
    <t>Operational log</t>
  </si>
  <si>
    <t>REQ-052</t>
  </si>
  <si>
    <t>8 - Performance Tuning</t>
  </si>
  <si>
    <t>Baseline</t>
  </si>
  <si>
    <t>Capture baseline</t>
  </si>
  <si>
    <t>Record elapsed time, CPU, logical reads, row count and execution plan for target queries.</t>
  </si>
  <si>
    <t>Before metrics and plan are saved.</t>
  </si>
  <si>
    <t>Baseline report</t>
  </si>
  <si>
    <t>REQ-053</t>
  </si>
  <si>
    <t>Indexing</t>
  </si>
  <si>
    <t>Design clustered strategy</t>
  </si>
  <si>
    <t>Choose a clustered key based on access pattern, uniqueness, width and load behavior.</t>
  </si>
  <si>
    <t>Decision is justified against measured workload.</t>
  </si>
  <si>
    <t>Index decision</t>
  </si>
  <si>
    <t>REQ-054</t>
  </si>
  <si>
    <t>Design covering indexes</t>
  </si>
  <si>
    <t>Create selective nonclustered indexes with INCLUDE columns for critical filters and joins.</t>
  </si>
  <si>
    <t>Plan and measured reads demonstrate benefit.</t>
  </si>
  <si>
    <t>Index scripts</t>
  </si>
  <si>
    <t>REQ-055</t>
  </si>
  <si>
    <t>Partitioning</t>
  </si>
  <si>
    <t>Evaluate date partitioning</t>
  </si>
  <si>
    <t>Partition very large facts by a date key only when pruning, maintenance and lifecycle benefits justify complexity.</t>
  </si>
  <si>
    <t>Partition elimination is demonstrated for date-filtered query.</t>
  </si>
  <si>
    <t>Partition evidence</t>
  </si>
  <si>
    <t>REQ-056</t>
  </si>
  <si>
    <t>SQL</t>
  </si>
  <si>
    <t>Remove non-sargable predicates</t>
  </si>
  <si>
    <t>Avoid functions on filtered columns and implicit datatype conversions.</t>
  </si>
  <si>
    <t>Seek-capable predicate is visible where appropriate.</t>
  </si>
  <si>
    <t>Query rewrite</t>
  </si>
  <si>
    <t>REQ-057</t>
  </si>
  <si>
    <t>Statistics</t>
  </si>
  <si>
    <t>Maintain statistics</t>
  </si>
  <si>
    <t>Define statistics update approach after significant loads.</t>
  </si>
  <si>
    <t>Estimated and actual row counts improve.</t>
  </si>
  <si>
    <t>Maintenance script</t>
  </si>
  <si>
    <t>REQ-058</t>
  </si>
  <si>
    <t>Aggregation</t>
  </si>
  <si>
    <t>Create summary table</t>
  </si>
  <si>
    <t>Build daily/monthly aggregate for high-frequency dashboard queries where justified.</t>
  </si>
  <si>
    <t>Aggregate reconciles and improves measured performance.</t>
  </si>
  <si>
    <t>Aggregate table</t>
  </si>
  <si>
    <t>REQ-059</t>
  </si>
  <si>
    <t>Analysis</t>
  </si>
  <si>
    <t>Detect skew and parameter issues</t>
  </si>
  <si>
    <t>Investigate skew, spills, memory grants and parameter-sensitive plans.</t>
  </si>
  <si>
    <t>Findings are tied to plan evidence.</t>
  </si>
  <si>
    <t>Tuning notes</t>
  </si>
  <si>
    <t>REQ-060</t>
  </si>
  <si>
    <t>Regression</t>
  </si>
  <si>
    <t>Compare before and after</t>
  </si>
  <si>
    <t>Document improvement without changing row-level results.</t>
  </si>
  <si>
    <t>Output checksum/count matches baseline and metrics are captured.</t>
  </si>
  <si>
    <t>Performance report</t>
  </si>
  <si>
    <t>REQ-061</t>
  </si>
  <si>
    <t>9 - Reconciliation &amp; RCA</t>
  </si>
  <si>
    <t>Reconciliation</t>
  </si>
  <si>
    <t>Build source-to-target control totals</t>
  </si>
  <si>
    <t>Compare row count, quantity, gross, adjustments and net revenue by business date and batch.</t>
  </si>
  <si>
    <t>Differences are zero or explained.</t>
  </si>
  <si>
    <t>Reconciliation report</t>
  </si>
  <si>
    <t>REQ-062</t>
  </si>
  <si>
    <t>RCA</t>
  </si>
  <si>
    <t>Investigate revenue restatement</t>
  </si>
  <si>
    <t>Assess late data, duplicate removal, SCD joins, failed batches, currency rates, deletes and filter changes.</t>
  </si>
  <si>
    <t>Evidence identifies or narrows the variance without guessing.</t>
  </si>
  <si>
    <t>RCA worksheet</t>
  </si>
  <si>
    <t>REQ-063</t>
  </si>
  <si>
    <t>Classify variances</t>
  </si>
  <si>
    <t>Categorize timing, logic, reference-data, source-correction and processing variances.</t>
  </si>
  <si>
    <t>Every unresolved difference has an owner/status.</t>
  </si>
  <si>
    <t>Variance table</t>
  </si>
  <si>
    <t>REQ-064</t>
  </si>
  <si>
    <t>Create lineage evidence</t>
  </si>
  <si>
    <t>Trace dashboard total to aggregate, fact, batch and source keys.</t>
  </si>
  <si>
    <t>Sample metric can be traced end to end.</t>
  </si>
  <si>
    <t>Lineage query</t>
  </si>
  <si>
    <t>REQ-065</t>
  </si>
  <si>
    <t>Set reconciliation thresholds</t>
  </si>
  <si>
    <t>Define zero tolerance for counts where appropriate and approved tolerances for currency rounding.</t>
  </si>
  <si>
    <t>Threshold breaches fail or warn according to rule.</t>
  </si>
  <si>
    <t>Threshold rules</t>
  </si>
  <si>
    <t>REQ-066</t>
  </si>
  <si>
    <t>Create support runbook</t>
  </si>
  <si>
    <t>Document symptoms, diagnostic SQL, common causes, recovery and escalation evidence.</t>
  </si>
  <si>
    <t>Another engineer can follow the runbook.</t>
  </si>
  <si>
    <t>Support runbook</t>
  </si>
  <si>
    <t>REQ-067</t>
  </si>
  <si>
    <t>10 - Packaging &amp; Portfolio</t>
  </si>
  <si>
    <t>Delivery</t>
  </si>
  <si>
    <t>Organize source control</t>
  </si>
  <si>
    <t>Store DDL, DML, procedures, views, tests and documentation in a clear repository structure.</t>
  </si>
  <si>
    <t>Fresh checkout contains all required assets.</t>
  </si>
  <si>
    <t>Repository</t>
  </si>
  <si>
    <t>REQ-068</t>
  </si>
  <si>
    <t>Create deployment order</t>
  </si>
  <si>
    <t>Provide numbered scripts or automated deployment with dependency order.</t>
  </si>
  <si>
    <t>Empty database can be deployed successfully.</t>
  </si>
  <si>
    <t>Deployment guide</t>
  </si>
  <si>
    <t>REQ-069</t>
  </si>
  <si>
    <t>Documentation</t>
  </si>
  <si>
    <t>Create architecture document</t>
  </si>
  <si>
    <t>Include assumptions, diagram, grain, keys, loading patterns and security considerations.</t>
  </si>
  <si>
    <t>Document is consistent with implementation.</t>
  </si>
  <si>
    <t>Architecture document</t>
  </si>
  <si>
    <t>REQ-070</t>
  </si>
  <si>
    <t>Evidence</t>
  </si>
  <si>
    <t>Capture test evidence</t>
  </si>
  <si>
    <t>Record expected, actual, status and evidence query/file for all tests.</t>
  </si>
  <si>
    <t>All critical tests pass before completion.</t>
  </si>
  <si>
    <t>Test report</t>
  </si>
  <si>
    <t>REQ-071</t>
  </si>
  <si>
    <t>Capture performance evidence</t>
  </si>
  <si>
    <t>Store baseline and optimized plans/metrics.</t>
  </si>
  <si>
    <t>Claims are supported by measurements.</t>
  </si>
  <si>
    <t>Tuning report</t>
  </si>
  <si>
    <t>REQ-072</t>
  </si>
  <si>
    <t>Portfolio</t>
  </si>
  <si>
    <t>Prepare honest resume wording</t>
  </si>
  <si>
    <t>State that this is a self-directed portfolio project and quantify only measured results from your environment.</t>
  </si>
  <si>
    <t>Resume wording has no unverified client or production claims.</t>
  </si>
  <si>
    <t>Resume bullets</t>
  </si>
  <si>
    <t>REQ-073</t>
  </si>
  <si>
    <t>Interview</t>
  </si>
  <si>
    <t>Prepare design defense</t>
  </si>
  <si>
    <t>Explain trade-offs, failure recovery, data quality, performance, and alternative approaches.</t>
  </si>
  <si>
    <t>A concise walkthrough and deep-dive answers are prepared.</t>
  </si>
  <si>
    <t>Interview notes</t>
  </si>
  <si>
    <t>Granular Task Plan and Effort Estimate</t>
  </si>
  <si>
    <t>Task ID</t>
  </si>
  <si>
    <t>Req ID</t>
  </si>
  <si>
    <t>Small Task</t>
  </si>
  <si>
    <t>Implementation Notes</t>
  </si>
  <si>
    <t>Planned Hours</t>
  </si>
  <si>
    <t>Dependency</t>
  </si>
  <si>
    <t>Deliverable / Evidence</t>
  </si>
  <si>
    <t>Status</t>
  </si>
  <si>
    <t>Completion %</t>
  </si>
  <si>
    <t>Actual Hours</t>
  </si>
  <si>
    <t>Comments</t>
  </si>
  <si>
    <t>TSK-001</t>
  </si>
  <si>
    <t>Analyze and document - Confirm analytical scope</t>
  </si>
  <si>
    <t>Analyze and document: Confirm analytical scope</t>
  </si>
  <si>
    <t>Not Started</t>
  </si>
  <si>
    <t>TSK-002</t>
  </si>
  <si>
    <t>Design approach - Confirm analytical scope</t>
  </si>
  <si>
    <t>Design approach: Confirm analytical scope</t>
  </si>
  <si>
    <t>TSK-003</t>
  </si>
  <si>
    <t>Implement SQL or artifact - Confirm analytical scope</t>
  </si>
  <si>
    <t>TSK-004</t>
  </si>
  <si>
    <t>Create and execute tests - Confirm analytical scope</t>
  </si>
  <si>
    <t>Create and execute tests: Confirm analytical scope</t>
  </si>
  <si>
    <t>TSK-005</t>
  </si>
  <si>
    <t>Record evidence and decisions - Confirm analytical scope</t>
  </si>
  <si>
    <t>Record evidence and decisions: Confirm analytical scope</t>
  </si>
  <si>
    <t>TSK-006</t>
  </si>
  <si>
    <t>Analyze and document - Declare FactOrders grain</t>
  </si>
  <si>
    <t>Analyze and document: Declare FactOrders grain</t>
  </si>
  <si>
    <t>TSK-007</t>
  </si>
  <si>
    <t>Design approach - Declare FactOrders grain</t>
  </si>
  <si>
    <t>Design approach: Declare FactOrders grain</t>
  </si>
  <si>
    <t>TSK-008</t>
  </si>
  <si>
    <t>Implement SQL or artifact - Declare FactOrders grain</t>
  </si>
  <si>
    <t>TSK-009</t>
  </si>
  <si>
    <t>Create and execute tests - Declare FactOrders grain</t>
  </si>
  <si>
    <t>Create and execute tests: Declare FactOrders grain</t>
  </si>
  <si>
    <t>TSK-010</t>
  </si>
  <si>
    <t>Record evidence and decisions - Declare FactOrders grain</t>
  </si>
  <si>
    <t>Record evidence and decisions: Declare FactOrders grain</t>
  </si>
  <si>
    <t>TSK-011</t>
  </si>
  <si>
    <t>Analyze and document - Declare FactShipment grain</t>
  </si>
  <si>
    <t>Analyze and document: Declare FactShipment grain</t>
  </si>
  <si>
    <t>TSK-012</t>
  </si>
  <si>
    <t>Design approach - Declare FactShipment grain</t>
  </si>
  <si>
    <t>Design approach: Declare FactShipment grain</t>
  </si>
  <si>
    <t>TSK-013</t>
  </si>
  <si>
    <t>Implement SQL or artifact - Declare FactShipment grain</t>
  </si>
  <si>
    <t>TSK-014</t>
  </si>
  <si>
    <t>Create and execute tests - Declare FactShipment grain</t>
  </si>
  <si>
    <t>Create and execute tests: Declare FactShipment grain</t>
  </si>
  <si>
    <t>TSK-015</t>
  </si>
  <si>
    <t>Record evidence and decisions - Declare FactShipment grain</t>
  </si>
  <si>
    <t>Record evidence and decisions: Declare FactShipment grain</t>
  </si>
  <si>
    <t>TSK-016</t>
  </si>
  <si>
    <t>Analyze and document - Design star schema</t>
  </si>
  <si>
    <t>Analyze and document: Design star schema</t>
  </si>
  <si>
    <t>TSK-017</t>
  </si>
  <si>
    <t>Design approach - Design star schema</t>
  </si>
  <si>
    <t>Design approach: Design star schema</t>
  </si>
  <si>
    <t>TSK-018</t>
  </si>
  <si>
    <t>Implement SQL or artifact - Design star schema</t>
  </si>
  <si>
    <t>TSK-019</t>
  </si>
  <si>
    <t>Create and execute tests - Design star schema</t>
  </si>
  <si>
    <t>Create and execute tests: Design star schema</t>
  </si>
  <si>
    <t>TSK-020</t>
  </si>
  <si>
    <t>Record evidence and decisions - Design star schema</t>
  </si>
  <si>
    <t>Record evidence and decisions: Design star schema</t>
  </si>
  <si>
    <t>TSK-021</t>
  </si>
  <si>
    <t>Analyze and document - Use surrogate keys</t>
  </si>
  <si>
    <t>Analyze and document: Use surrogate keys</t>
  </si>
  <si>
    <t>TSK-022</t>
  </si>
  <si>
    <t>Design approach - Use surrogate keys</t>
  </si>
  <si>
    <t>Design approach: Use surrogate keys</t>
  </si>
  <si>
    <t>TSK-023</t>
  </si>
  <si>
    <t>Implement SQL or artifact - Use surrogate keys</t>
  </si>
  <si>
    <t>TSK-024</t>
  </si>
  <si>
    <t>Create and execute tests - Use surrogate keys</t>
  </si>
  <si>
    <t>Create and execute tests: Use surrogate keys</t>
  </si>
  <si>
    <t>TSK-025</t>
  </si>
  <si>
    <t>Record evidence and decisions - Use surrogate keys</t>
  </si>
  <si>
    <t>Record evidence and decisions: Use surrogate keys</t>
  </si>
  <si>
    <t>TSK-026</t>
  </si>
  <si>
    <t>Analyze and document - Create unknown members</t>
  </si>
  <si>
    <t>Analyze and document: Create unknown members</t>
  </si>
  <si>
    <t>TSK-027</t>
  </si>
  <si>
    <t>Design approach - Create unknown members</t>
  </si>
  <si>
    <t>Design approach: Create unknown members</t>
  </si>
  <si>
    <t>TSK-028</t>
  </si>
  <si>
    <t>Implement SQL or artifact - Create unknown members</t>
  </si>
  <si>
    <t>TSK-029</t>
  </si>
  <si>
    <t>Create and execute tests - Create unknown members</t>
  </si>
  <si>
    <t>Create and execute tests: Create unknown members</t>
  </si>
  <si>
    <t>TSK-030</t>
  </si>
  <si>
    <t>Record evidence and decisions - Create unknown members</t>
  </si>
  <si>
    <t>Record evidence and decisions: Create unknown members</t>
  </si>
  <si>
    <t>TSK-031</t>
  </si>
  <si>
    <t>Analyze and document - Define additive measures</t>
  </si>
  <si>
    <t>Analyze and document: Define additive measures</t>
  </si>
  <si>
    <t>TSK-032</t>
  </si>
  <si>
    <t>Design approach - Define additive measures</t>
  </si>
  <si>
    <t>Design approach: Define additive measures</t>
  </si>
  <si>
    <t>TSK-033</t>
  </si>
  <si>
    <t>Implement SQL or artifact - Define additive measures</t>
  </si>
  <si>
    <t>TSK-034</t>
  </si>
  <si>
    <t>Create and execute tests - Define additive measures</t>
  </si>
  <si>
    <t>Create and execute tests: Define additive measures</t>
  </si>
  <si>
    <t>TSK-035</t>
  </si>
  <si>
    <t>Record evidence and decisions - Define additive measures</t>
  </si>
  <si>
    <t>Record evidence and decisions: Define additive measures</t>
  </si>
  <si>
    <t>TSK-036</t>
  </si>
  <si>
    <t>Analyze and document - Add audit columns</t>
  </si>
  <si>
    <t>Analyze and document: Add audit columns</t>
  </si>
  <si>
    <t>TSK-037</t>
  </si>
  <si>
    <t>Design approach - Add audit columns</t>
  </si>
  <si>
    <t>Design approach: Add audit columns</t>
  </si>
  <si>
    <t>TSK-038</t>
  </si>
  <si>
    <t>Implement SQL or artifact - Add audit columns</t>
  </si>
  <si>
    <t>TSK-039</t>
  </si>
  <si>
    <t>Create and execute tests - Add audit columns</t>
  </si>
  <si>
    <t>Create and execute tests: Add audit columns</t>
  </si>
  <si>
    <t>TSK-040</t>
  </si>
  <si>
    <t>Record evidence and decisions - Add audit columns</t>
  </si>
  <si>
    <t>Record evidence and decisions: Add audit columns</t>
  </si>
  <si>
    <t>TSK-041</t>
  </si>
  <si>
    <t>Analyze and document - Role-playing date dimensions</t>
  </si>
  <si>
    <t>Analyze and document: Role-playing date dimensions</t>
  </si>
  <si>
    <t>TSK-042</t>
  </si>
  <si>
    <t>Design approach - Role-playing date dimensions</t>
  </si>
  <si>
    <t>Design approach: Role-playing date dimensions</t>
  </si>
  <si>
    <t>TSK-043</t>
  </si>
  <si>
    <t>Implement SQL or artifact - Role-playing date dimensions</t>
  </si>
  <si>
    <t>TSK-044</t>
  </si>
  <si>
    <t>Create and execute tests - Role-playing date dimensions</t>
  </si>
  <si>
    <t>Create and execute tests: Role-playing date dimensions</t>
  </si>
  <si>
    <t>TSK-045</t>
  </si>
  <si>
    <t>Record evidence and decisions - Role-playing date dimensions</t>
  </si>
  <si>
    <t>Record evidence and decisions: Role-playing date dimensions</t>
  </si>
  <si>
    <t>TSK-046</t>
  </si>
  <si>
    <t>Analyze and document - Enforce key integrity</t>
  </si>
  <si>
    <t>Analyze and document: Enforce key integrity</t>
  </si>
  <si>
    <t>TSK-047</t>
  </si>
  <si>
    <t>Design approach - Enforce key integrity</t>
  </si>
  <si>
    <t>Design approach: Enforce key integrity</t>
  </si>
  <si>
    <t>TSK-048</t>
  </si>
  <si>
    <t>Implement SQL or artifact - Enforce key integrity</t>
  </si>
  <si>
    <t>TSK-049</t>
  </si>
  <si>
    <t>Create and execute tests - Enforce key integrity</t>
  </si>
  <si>
    <t>Create and execute tests: Enforce key integrity</t>
  </si>
  <si>
    <t>TSK-050</t>
  </si>
  <si>
    <t>Record evidence and decisions - Enforce key integrity</t>
  </si>
  <si>
    <t>Record evidence and decisions: Enforce key integrity</t>
  </si>
  <si>
    <t>TSK-051</t>
  </si>
  <si>
    <t>Analyze and document - Track customer changes</t>
  </si>
  <si>
    <t>Analyze and document: Track customer changes</t>
  </si>
  <si>
    <t>TSK-052</t>
  </si>
  <si>
    <t>Design approach - Track customer changes</t>
  </si>
  <si>
    <t>Design approach: Track customer changes</t>
  </si>
  <si>
    <t>TSK-053</t>
  </si>
  <si>
    <t>Implement SQL or artifact - Track customer changes</t>
  </si>
  <si>
    <t>TSK-054</t>
  </si>
  <si>
    <t>Create and execute tests - Track customer changes</t>
  </si>
  <si>
    <t>Create and execute tests: Track customer changes</t>
  </si>
  <si>
    <t>TSK-055</t>
  </si>
  <si>
    <t>Record evidence and decisions - Track customer changes</t>
  </si>
  <si>
    <t>Record evidence and decisions: Track customer changes</t>
  </si>
  <si>
    <t>TSK-056</t>
  </si>
  <si>
    <t>Analyze and document - Ignore non-changing records</t>
  </si>
  <si>
    <t>Analyze and document: Ignore non-changing records</t>
  </si>
  <si>
    <t>TSK-057</t>
  </si>
  <si>
    <t>Design approach - Ignore non-changing records</t>
  </si>
  <si>
    <t>Design approach: Ignore non-changing records</t>
  </si>
  <si>
    <t>TSK-058</t>
  </si>
  <si>
    <t>Implement SQL or artifact - Ignore non-changing records</t>
  </si>
  <si>
    <t>TSK-059</t>
  </si>
  <si>
    <t>Create and execute tests - Ignore non-changing records</t>
  </si>
  <si>
    <t>Create and execute tests: Ignore non-changing records</t>
  </si>
  <si>
    <t>TSK-060</t>
  </si>
  <si>
    <t>Record evidence and decisions - Ignore non-changing records</t>
  </si>
  <si>
    <t>Record evidence and decisions: Ignore non-changing records</t>
  </si>
  <si>
    <t>TSK-061</t>
  </si>
  <si>
    <t>Analyze and document - Handle new customers</t>
  </si>
  <si>
    <t>Analyze and document: Handle new customers</t>
  </si>
  <si>
    <t>TSK-062</t>
  </si>
  <si>
    <t>Design approach - Handle new customers</t>
  </si>
  <si>
    <t>Design approach: Handle new customers</t>
  </si>
  <si>
    <t>TSK-063</t>
  </si>
  <si>
    <t>Implement SQL or artifact - Handle new customers</t>
  </si>
  <si>
    <t>TSK-064</t>
  </si>
  <si>
    <t>Create and execute tests - Handle new customers</t>
  </si>
  <si>
    <t>Create and execute tests: Handle new customers</t>
  </si>
  <si>
    <t>TSK-065</t>
  </si>
  <si>
    <t>Record evidence and decisions - Handle new customers</t>
  </si>
  <si>
    <t>Record evidence and decisions: Handle new customers</t>
  </si>
  <si>
    <t>TSK-066</t>
  </si>
  <si>
    <t>Analyze and document - Close prior version</t>
  </si>
  <si>
    <t>Analyze and document: Close prior version</t>
  </si>
  <si>
    <t>TSK-067</t>
  </si>
  <si>
    <t>Design approach - Close prior version</t>
  </si>
  <si>
    <t>Design approach: Close prior version</t>
  </si>
  <si>
    <t>TSK-068</t>
  </si>
  <si>
    <t>Implement SQL or artifact - Close prior version</t>
  </si>
  <si>
    <t>TSK-069</t>
  </si>
  <si>
    <t>Create and execute tests - Close prior version</t>
  </si>
  <si>
    <t>Create and execute tests: Close prior version</t>
  </si>
  <si>
    <t>TSK-070</t>
  </si>
  <si>
    <t>Record evidence and decisions - Close prior version</t>
  </si>
  <si>
    <t>Record evidence and decisions: Close prior version</t>
  </si>
  <si>
    <t>TSK-071</t>
  </si>
  <si>
    <t>Analyze and document - Maintain current-row uniqueness</t>
  </si>
  <si>
    <t>Analyze and document: Maintain current-row uniqueness</t>
  </si>
  <si>
    <t>TSK-072</t>
  </si>
  <si>
    <t>Design approach - Maintain current-row uniqueness</t>
  </si>
  <si>
    <t>Design approach: Maintain current-row uniqueness</t>
  </si>
  <si>
    <t>TSK-073</t>
  </si>
  <si>
    <t>Implement SQL or artifact - Maintain current-row uniqueness</t>
  </si>
  <si>
    <t>TSK-074</t>
  </si>
  <si>
    <t>Create and execute tests - Maintain current-row uniqueness</t>
  </si>
  <si>
    <t>Create and execute tests: Maintain current-row uniqueness</t>
  </si>
  <si>
    <t>TSK-075</t>
  </si>
  <si>
    <t>Record evidence and decisions - Maintain current-row uniqueness</t>
  </si>
  <si>
    <t>Record evidence and decisions: Maintain current-row uniqueness</t>
  </si>
  <si>
    <t>TSK-076</t>
  </si>
  <si>
    <t>Analyze and document - Null-safe comparison</t>
  </si>
  <si>
    <t>Analyze and document: Null-safe comparison</t>
  </si>
  <si>
    <t>TSK-077</t>
  </si>
  <si>
    <t>Design approach - Null-safe comparison</t>
  </si>
  <si>
    <t>Design approach: Null-safe comparison</t>
  </si>
  <si>
    <t>TSK-078</t>
  </si>
  <si>
    <t>Implement SQL or artifact - Null-safe comparison</t>
  </si>
  <si>
    <t>TSK-079</t>
  </si>
  <si>
    <t>Create and execute tests - Null-safe comparison</t>
  </si>
  <si>
    <t>Create and execute tests: Null-safe comparison</t>
  </si>
  <si>
    <t>TSK-080</t>
  </si>
  <si>
    <t>Record evidence and decisions - Null-safe comparison</t>
  </si>
  <si>
    <t>Record evidence and decisions: Null-safe comparison</t>
  </si>
  <si>
    <t>TSK-081</t>
  </si>
  <si>
    <t>Analyze and document - Define late-arriving customer handling</t>
  </si>
  <si>
    <t>Analyze and document: Define late-arriving customer handling</t>
  </si>
  <si>
    <t>TSK-082</t>
  </si>
  <si>
    <t>Design approach - Define late-arriving customer handling</t>
  </si>
  <si>
    <t>Design approach: Define late-arriving customer handling</t>
  </si>
  <si>
    <t>TSK-083</t>
  </si>
  <si>
    <t>Implement SQL or artifact - Define late-arriving customer handling</t>
  </si>
  <si>
    <t>TSK-084</t>
  </si>
  <si>
    <t>Create and execute tests - Define late-arriving customer handling</t>
  </si>
  <si>
    <t>Create and execute tests: Define late-arriving customer handling</t>
  </si>
  <si>
    <t>TSK-085</t>
  </si>
  <si>
    <t>Record evidence and decisions - Define late-arriving customer handling</t>
  </si>
  <si>
    <t>Record evidence and decisions: Define late-arriving customer handling</t>
  </si>
  <si>
    <t>TSK-086</t>
  </si>
  <si>
    <t>Analyze and document - Capture change metadata</t>
  </si>
  <si>
    <t>Analyze and document: Capture change metadata</t>
  </si>
  <si>
    <t>TSK-087</t>
  </si>
  <si>
    <t>Design approach - Capture change metadata</t>
  </si>
  <si>
    <t>Design approach: Capture change metadata</t>
  </si>
  <si>
    <t>TSK-088</t>
  </si>
  <si>
    <t>Implement SQL or artifact - Capture change metadata</t>
  </si>
  <si>
    <t>TSK-089</t>
  </si>
  <si>
    <t>Create and execute tests - Capture change metadata</t>
  </si>
  <si>
    <t>Create and execute tests: Capture change metadata</t>
  </si>
  <si>
    <t>TSK-090</t>
  </si>
  <si>
    <t>Record evidence and decisions - Capture change metadata</t>
  </si>
  <si>
    <t>Record evidence and decisions: Capture change metadata</t>
  </si>
  <si>
    <t>TSK-091</t>
  </si>
  <si>
    <t>Analyze and document - Define revenue</t>
  </si>
  <si>
    <t>Analyze and document: Define revenue</t>
  </si>
  <si>
    <t>TSK-092</t>
  </si>
  <si>
    <t>Design approach - Define revenue</t>
  </si>
  <si>
    <t>Design approach: Define revenue</t>
  </si>
  <si>
    <t>TSK-093</t>
  </si>
  <si>
    <t>Implement SQL or artifact - Define revenue</t>
  </si>
  <si>
    <t>TSK-094</t>
  </si>
  <si>
    <t>Create and execute tests - Define revenue</t>
  </si>
  <si>
    <t>Create and execute tests: Define revenue</t>
  </si>
  <si>
    <t>TSK-095</t>
  </si>
  <si>
    <t>Record evidence and decisions - Define revenue</t>
  </si>
  <si>
    <t>Record evidence and decisions: Define revenue</t>
  </si>
  <si>
    <t>TSK-096</t>
  </si>
  <si>
    <t>Analyze and document - Monthly customer revenue</t>
  </si>
  <si>
    <t>Analyze and document: Monthly customer revenue</t>
  </si>
  <si>
    <t>TSK-097</t>
  </si>
  <si>
    <t>Design approach - Monthly customer revenue</t>
  </si>
  <si>
    <t>Design approach: Monthly customer revenue</t>
  </si>
  <si>
    <t>TSK-098</t>
  </si>
  <si>
    <t>Implement SQL or artifact - Monthly customer revenue</t>
  </si>
  <si>
    <t>TSK-099</t>
  </si>
  <si>
    <t>Create and execute tests - Monthly customer revenue</t>
  </si>
  <si>
    <t>Create and execute tests: Monthly customer revenue</t>
  </si>
  <si>
    <t>TSK-100</t>
  </si>
  <si>
    <t>Record evidence and decisions - Monthly customer revenue</t>
  </si>
  <si>
    <t>Record evidence and decisions: Monthly customer revenue</t>
  </si>
  <si>
    <t>TSK-101</t>
  </si>
  <si>
    <t>Analyze and document - Previous month comparison</t>
  </si>
  <si>
    <t>Analyze and document: Previous month comparison</t>
  </si>
  <si>
    <t>TSK-102</t>
  </si>
  <si>
    <t>Design approach - Previous month comparison</t>
  </si>
  <si>
    <t>Design approach: Previous month comparison</t>
  </si>
  <si>
    <t>TSK-103</t>
  </si>
  <si>
    <t>Implement SQL or artifact - Previous month comparison</t>
  </si>
  <si>
    <t>TSK-104</t>
  </si>
  <si>
    <t>Create and execute tests - Previous month comparison</t>
  </si>
  <si>
    <t>Create and execute tests: Previous month comparison</t>
  </si>
  <si>
    <t>TSK-105</t>
  </si>
  <si>
    <t>Record evidence and decisions - Previous month comparison</t>
  </si>
  <si>
    <t>Record evidence and decisions: Previous month comparison</t>
  </si>
  <si>
    <t>TSK-106</t>
  </si>
  <si>
    <t>Analyze and document - Growth percentage</t>
  </si>
  <si>
    <t>Analyze and document: Growth percentage</t>
  </si>
  <si>
    <t>TSK-107</t>
  </si>
  <si>
    <t>Design approach - Growth percentage</t>
  </si>
  <si>
    <t>Design approach: Growth percentage</t>
  </si>
  <si>
    <t>TSK-108</t>
  </si>
  <si>
    <t>Implement SQL or artifact - Growth percentage</t>
  </si>
  <si>
    <t>TSK-109</t>
  </si>
  <si>
    <t>Create and execute tests - Growth percentage</t>
  </si>
  <si>
    <t>Create and execute tests: Growth percentage</t>
  </si>
  <si>
    <t>TSK-110</t>
  </si>
  <si>
    <t>Record evidence and decisions - Growth percentage</t>
  </si>
  <si>
    <t>Record evidence and decisions: Growth percentage</t>
  </si>
  <si>
    <t>TSK-111</t>
  </si>
  <si>
    <t>Analyze and document - Zero-activity month handling</t>
  </si>
  <si>
    <t>Analyze and document: Zero-activity month handling</t>
  </si>
  <si>
    <t>TSK-112</t>
  </si>
  <si>
    <t>Design approach - Zero-activity month handling</t>
  </si>
  <si>
    <t>Design approach: Zero-activity month handling</t>
  </si>
  <si>
    <t>TSK-113</t>
  </si>
  <si>
    <t>Implement SQL or artifact - Zero-activity month handling</t>
  </si>
  <si>
    <t>TSK-114</t>
  </si>
  <si>
    <t>Create and execute tests - Zero-activity month handling</t>
  </si>
  <si>
    <t>Create and execute tests: Zero-activity month handling</t>
  </si>
  <si>
    <t>TSK-115</t>
  </si>
  <si>
    <t>Record evidence and decisions - Zero-activity month handling</t>
  </si>
  <si>
    <t>Record evidence and decisions: Zero-activity month handling</t>
  </si>
  <si>
    <t>TSK-116</t>
  </si>
  <si>
    <t>Analyze and document - Revenue trend</t>
  </si>
  <si>
    <t>Analyze and document: Revenue trend</t>
  </si>
  <si>
    <t>TSK-117</t>
  </si>
  <si>
    <t>Design approach - Revenue trend</t>
  </si>
  <si>
    <t>Design approach: Revenue trend</t>
  </si>
  <si>
    <t>TSK-118</t>
  </si>
  <si>
    <t>Implement SQL or artifact - Revenue trend</t>
  </si>
  <si>
    <t>TSK-119</t>
  </si>
  <si>
    <t>Create and execute tests - Revenue trend</t>
  </si>
  <si>
    <t>Create and execute tests: Revenue trend</t>
  </si>
  <si>
    <t>TSK-120</t>
  </si>
  <si>
    <t>Record evidence and decisions - Revenue trend</t>
  </si>
  <si>
    <t>Record evidence and decisions: Revenue trend</t>
  </si>
  <si>
    <t>TSK-121</t>
  </si>
  <si>
    <t>Analyze and document - Reporting currency rule</t>
  </si>
  <si>
    <t>Analyze and document: Reporting currency rule</t>
  </si>
  <si>
    <t>TSK-122</t>
  </si>
  <si>
    <t>Design approach - Reporting currency rule</t>
  </si>
  <si>
    <t>Design approach: Reporting currency rule</t>
  </si>
  <si>
    <t>TSK-123</t>
  </si>
  <si>
    <t>Implement SQL or artifact - Reporting currency rule</t>
  </si>
  <si>
    <t>TSK-124</t>
  </si>
  <si>
    <t>Create and execute tests - Reporting currency rule</t>
  </si>
  <si>
    <t>Create and execute tests: Reporting currency rule</t>
  </si>
  <si>
    <t>TSK-125</t>
  </si>
  <si>
    <t>Record evidence and decisions - Reporting currency rule</t>
  </si>
  <si>
    <t>Record evidence and decisions: Reporting currency rule</t>
  </si>
  <si>
    <t>TSK-126</t>
  </si>
  <si>
    <t>Analyze and document - Identify duplicate order events</t>
  </si>
  <si>
    <t>Analyze and document: Identify duplicate order events</t>
  </si>
  <si>
    <t>TSK-127</t>
  </si>
  <si>
    <t>Design approach - Identify duplicate order events</t>
  </si>
  <si>
    <t>Design approach: Identify duplicate order events</t>
  </si>
  <si>
    <t>TSK-128</t>
  </si>
  <si>
    <t>Implement SQL or artifact - Identify duplicate order events</t>
  </si>
  <si>
    <t>TSK-129</t>
  </si>
  <si>
    <t>Create and execute tests - Identify duplicate order events</t>
  </si>
  <si>
    <t>Create and execute tests: Identify duplicate order events</t>
  </si>
  <si>
    <t>TSK-130</t>
  </si>
  <si>
    <t>Record evidence and decisions - Identify duplicate order events</t>
  </si>
  <si>
    <t>Record evidence and decisions: Identify duplicate order events</t>
  </si>
  <si>
    <t>TSK-131</t>
  </si>
  <si>
    <t>Analyze and document - Define survivor rule</t>
  </si>
  <si>
    <t>Analyze and document: Define survivor rule</t>
  </si>
  <si>
    <t>TSK-132</t>
  </si>
  <si>
    <t>Design approach - Define survivor rule</t>
  </si>
  <si>
    <t>Design approach: Define survivor rule</t>
  </si>
  <si>
    <t>TSK-133</t>
  </si>
  <si>
    <t>Implement SQL or artifact - Define survivor rule</t>
  </si>
  <si>
    <t>TSK-134</t>
  </si>
  <si>
    <t>Create and execute tests - Define survivor rule</t>
  </si>
  <si>
    <t>Create and execute tests: Define survivor rule</t>
  </si>
  <si>
    <t>TSK-135</t>
  </si>
  <si>
    <t>Record evidence and decisions - Define survivor rule</t>
  </si>
  <si>
    <t>Record evidence and decisions: Define survivor rule</t>
  </si>
  <si>
    <t>TSK-136</t>
  </si>
  <si>
    <t>Analyze and document - Implement ROW_NUMBER</t>
  </si>
  <si>
    <t>Analyze and document: Implement ROW_NUMBER</t>
  </si>
  <si>
    <t>TSK-137</t>
  </si>
  <si>
    <t>Design approach - Implement ROW_NUMBER</t>
  </si>
  <si>
    <t>Design approach: Implement ROW_NUMBER</t>
  </si>
  <si>
    <t>TSK-138</t>
  </si>
  <si>
    <t>Implement SQL or artifact - Implement ROW_NUMBER</t>
  </si>
  <si>
    <t>TSK-139</t>
  </si>
  <si>
    <t>Create and execute tests - Implement ROW_NUMBER</t>
  </si>
  <si>
    <t>Create and execute tests: Implement ROW_NUMBER</t>
  </si>
  <si>
    <t>TSK-140</t>
  </si>
  <si>
    <t>Record evidence and decisions - Implement ROW_NUMBER</t>
  </si>
  <si>
    <t>Record evidence and decisions: Implement ROW_NUMBER</t>
  </si>
  <si>
    <t>TSK-141</t>
  </si>
  <si>
    <t>Analyze and document - Quarantine rejected rows</t>
  </si>
  <si>
    <t>Analyze and document: Quarantine rejected rows</t>
  </si>
  <si>
    <t>TSK-142</t>
  </si>
  <si>
    <t>Design approach - Quarantine rejected rows</t>
  </si>
  <si>
    <t>Design approach: Quarantine rejected rows</t>
  </si>
  <si>
    <t>TSK-143</t>
  </si>
  <si>
    <t>Implement SQL or artifact - Quarantine rejected rows</t>
  </si>
  <si>
    <t>TSK-144</t>
  </si>
  <si>
    <t>Create and execute tests - Quarantine rejected rows</t>
  </si>
  <si>
    <t>Create and execute tests: Quarantine rejected rows</t>
  </si>
  <si>
    <t>TSK-145</t>
  </si>
  <si>
    <t>Record evidence and decisions - Quarantine rejected rows</t>
  </si>
  <si>
    <t>Record evidence and decisions: Quarantine rejected rows</t>
  </si>
  <si>
    <t>TSK-146</t>
  </si>
  <si>
    <t>Analyze and document - Ensure idempotency</t>
  </si>
  <si>
    <t>Analyze and document: Ensure idempotency</t>
  </si>
  <si>
    <t>TSK-147</t>
  </si>
  <si>
    <t>Design approach - Ensure idempotency</t>
  </si>
  <si>
    <t>Design approach: Ensure idempotency</t>
  </si>
  <si>
    <t>TSK-148</t>
  </si>
  <si>
    <t>Implement SQL or artifact - Ensure idempotency</t>
  </si>
  <si>
    <t>TSK-149</t>
  </si>
  <si>
    <t>Create and execute tests - Ensure idempotency</t>
  </si>
  <si>
    <t>Create and execute tests: Ensure idempotency</t>
  </si>
  <si>
    <t>TSK-150</t>
  </si>
  <si>
    <t>Record evidence and decisions - Ensure idempotency</t>
  </si>
  <si>
    <t>Record evidence and decisions: Ensure idempotency</t>
  </si>
  <si>
    <t>TSK-151</t>
  </si>
  <si>
    <t>Analyze and document - Handle exact ties</t>
  </si>
  <si>
    <t>Analyze and document: Handle exact ties</t>
  </si>
  <si>
    <t>TSK-152</t>
  </si>
  <si>
    <t>Design approach - Handle exact ties</t>
  </si>
  <si>
    <t>Design approach: Handle exact ties</t>
  </si>
  <si>
    <t>TSK-153</t>
  </si>
  <si>
    <t>Implement SQL or artifact - Handle exact ties</t>
  </si>
  <si>
    <t>TSK-154</t>
  </si>
  <si>
    <t>Create and execute tests - Handle exact ties</t>
  </si>
  <si>
    <t>Create and execute tests: Handle exact ties</t>
  </si>
  <si>
    <t>TSK-155</t>
  </si>
  <si>
    <t>Record evidence and decisions - Handle exact ties</t>
  </si>
  <si>
    <t>Record evidence and decisions: Handle exact ties</t>
  </si>
  <si>
    <t>TSK-156</t>
  </si>
  <si>
    <t>Analyze and document - Define delivery duration</t>
  </si>
  <si>
    <t>Analyze and document: Define delivery duration</t>
  </si>
  <si>
    <t>TSK-157</t>
  </si>
  <si>
    <t>Design approach - Define delivery duration</t>
  </si>
  <si>
    <t>Design approach: Define delivery duration</t>
  </si>
  <si>
    <t>TSK-158</t>
  </si>
  <si>
    <t>Implement SQL or artifact - Define delivery duration</t>
  </si>
  <si>
    <t>TSK-159</t>
  </si>
  <si>
    <t>Create and execute tests - Define delivery duration</t>
  </si>
  <si>
    <t>Create and execute tests: Define delivery duration</t>
  </si>
  <si>
    <t>TSK-160</t>
  </si>
  <si>
    <t>Record evidence and decisions - Define delivery duration</t>
  </si>
  <si>
    <t>Record evidence and decisions: Define delivery duration</t>
  </si>
  <si>
    <t>TSK-161</t>
  </si>
  <si>
    <t>Analyze and document - Identify late delivery</t>
  </si>
  <si>
    <t>Analyze and document: Identify late delivery</t>
  </si>
  <si>
    <t>TSK-162</t>
  </si>
  <si>
    <t>Design approach - Identify late delivery</t>
  </si>
  <si>
    <t>Design approach: Identify late delivery</t>
  </si>
  <si>
    <t>TSK-163</t>
  </si>
  <si>
    <t>Implement SQL or artifact - Identify late delivery</t>
  </si>
  <si>
    <t>TSK-164</t>
  </si>
  <si>
    <t>Create and execute tests - Identify late delivery</t>
  </si>
  <si>
    <t>Create and execute tests: Identify late delivery</t>
  </si>
  <si>
    <t>TSK-165</t>
  </si>
  <si>
    <t>Record evidence and decisions - Identify late delivery</t>
  </si>
  <si>
    <t>Record evidence and decisions: Identify late delivery</t>
  </si>
  <si>
    <t>TSK-166</t>
  </si>
  <si>
    <t>Analyze and document - Create non-overlapping buckets</t>
  </si>
  <si>
    <t>Analyze and document: Create non-overlapping buckets</t>
  </si>
  <si>
    <t>TSK-167</t>
  </si>
  <si>
    <t>Design approach - Create non-overlapping buckets</t>
  </si>
  <si>
    <t>Design approach: Create non-overlapping buckets</t>
  </si>
  <si>
    <t>TSK-168</t>
  </si>
  <si>
    <t>Implement SQL or artifact - Create non-overlapping buckets</t>
  </si>
  <si>
    <t>TSK-169</t>
  </si>
  <si>
    <t>Create and execute tests - Create non-overlapping buckets</t>
  </si>
  <si>
    <t>Create and execute tests: Create non-overlapping buckets</t>
  </si>
  <si>
    <t>TSK-170</t>
  </si>
  <si>
    <t>Record evidence and decisions - Create non-overlapping buckets</t>
  </si>
  <si>
    <t>Record evidence and decisions: Create non-overlapping buckets</t>
  </si>
  <si>
    <t>TSK-171</t>
  </si>
  <si>
    <t>Analyze and document - Handle undelivered shipments</t>
  </si>
  <si>
    <t>Analyze and document: Handle undelivered shipments</t>
  </si>
  <si>
    <t>TSK-172</t>
  </si>
  <si>
    <t>Design approach - Handle undelivered shipments</t>
  </si>
  <si>
    <t>Design approach: Handle undelivered shipments</t>
  </si>
  <si>
    <t>TSK-173</t>
  </si>
  <si>
    <t>Implement SQL or artifact - Handle undelivered shipments</t>
  </si>
  <si>
    <t>TSK-174</t>
  </si>
  <si>
    <t>Create and execute tests - Handle undelivered shipments</t>
  </si>
  <si>
    <t>Create and execute tests: Handle undelivered shipments</t>
  </si>
  <si>
    <t>TSK-175</t>
  </si>
  <si>
    <t>Record evidence and decisions - Handle undelivered shipments</t>
  </si>
  <si>
    <t>Record evidence and decisions: Handle undelivered shipments</t>
  </si>
  <si>
    <t>TSK-176</t>
  </si>
  <si>
    <t>Analyze and document - Handle invalid chronology</t>
  </si>
  <si>
    <t>Analyze and document: Handle invalid chronology</t>
  </si>
  <si>
    <t>TSK-177</t>
  </si>
  <si>
    <t>Design approach - Handle invalid chronology</t>
  </si>
  <si>
    <t>Design approach: Handle invalid chronology</t>
  </si>
  <si>
    <t>TSK-178</t>
  </si>
  <si>
    <t>Implement SQL or artifact - Handle invalid chronology</t>
  </si>
  <si>
    <t>TSK-179</t>
  </si>
  <si>
    <t>Create and execute tests - Handle invalid chronology</t>
  </si>
  <si>
    <t>Create and execute tests: Handle invalid chronology</t>
  </si>
  <si>
    <t>TSK-180</t>
  </si>
  <si>
    <t>Record evidence and decisions - Handle invalid chronology</t>
  </si>
  <si>
    <t>Record evidence and decisions: Handle invalid chronology</t>
  </si>
  <si>
    <t>TSK-181</t>
  </si>
  <si>
    <t>Analyze and document - Delay KPI output</t>
  </si>
  <si>
    <t>Analyze and document: Delay KPI output</t>
  </si>
  <si>
    <t>TSK-182</t>
  </si>
  <si>
    <t>Design approach - Delay KPI output</t>
  </si>
  <si>
    <t>Design approach: Delay KPI output</t>
  </si>
  <si>
    <t>TSK-183</t>
  </si>
  <si>
    <t>Implement SQL or artifact - Delay KPI output</t>
  </si>
  <si>
    <t>TSK-184</t>
  </si>
  <si>
    <t>Create and execute tests - Delay KPI output</t>
  </si>
  <si>
    <t>Create and execute tests: Delay KPI output</t>
  </si>
  <si>
    <t>TSK-185</t>
  </si>
  <si>
    <t>Record evidence and decisions - Delay KPI output</t>
  </si>
  <si>
    <t>Record evidence and decisions: Delay KPI output</t>
  </si>
  <si>
    <t>TSK-186</t>
  </si>
  <si>
    <t>Analyze and document - Rank within country</t>
  </si>
  <si>
    <t>Analyze and document: Rank within country</t>
  </si>
  <si>
    <t>TSK-187</t>
  </si>
  <si>
    <t>Design approach - Rank within country</t>
  </si>
  <si>
    <t>Design approach: Rank within country</t>
  </si>
  <si>
    <t>TSK-188</t>
  </si>
  <si>
    <t>Implement SQL or artifact - Rank within country</t>
  </si>
  <si>
    <t>TSK-189</t>
  </si>
  <si>
    <t>Create and execute tests - Rank within country</t>
  </si>
  <si>
    <t>Create and execute tests: Rank within country</t>
  </si>
  <si>
    <t>TSK-190</t>
  </si>
  <si>
    <t>Record evidence and decisions - Rank within country</t>
  </si>
  <si>
    <t>Record evidence and decisions: Rank within country</t>
  </si>
  <si>
    <t>TSK-191</t>
  </si>
  <si>
    <t>Analyze and document - Top 10 per country</t>
  </si>
  <si>
    <t>Analyze and document: Top 10 per country</t>
  </si>
  <si>
    <t>TSK-192</t>
  </si>
  <si>
    <t>Design approach - Top 10 per country</t>
  </si>
  <si>
    <t>Design approach: Top 10 per country</t>
  </si>
  <si>
    <t>TSK-193</t>
  </si>
  <si>
    <t>Implement SQL or artifact - Top 10 per country</t>
  </si>
  <si>
    <t>TSK-194</t>
  </si>
  <si>
    <t>Create and execute tests - Top 10 per country</t>
  </si>
  <si>
    <t>Create and execute tests: Top 10 per country</t>
  </si>
  <si>
    <t>TSK-195</t>
  </si>
  <si>
    <t>Record evidence and decisions - Top 10 per country</t>
  </si>
  <si>
    <t>Record evidence and decisions: Top 10 per country</t>
  </si>
  <si>
    <t>TSK-196</t>
  </si>
  <si>
    <t>Analyze and document - Define tie behavior</t>
  </si>
  <si>
    <t>Analyze and document: Define tie behavior</t>
  </si>
  <si>
    <t>TSK-197</t>
  </si>
  <si>
    <t>Design approach - Define tie behavior</t>
  </si>
  <si>
    <t>Design approach: Define tie behavior</t>
  </si>
  <si>
    <t>TSK-198</t>
  </si>
  <si>
    <t>Implement SQL or artifact - Define tie behavior</t>
  </si>
  <si>
    <t>TSK-199</t>
  </si>
  <si>
    <t>Create and execute tests - Define tie behavior</t>
  </si>
  <si>
    <t>Create and execute tests: Define tie behavior</t>
  </si>
  <si>
    <t>TSK-200</t>
  </si>
  <si>
    <t>Record evidence and decisions - Define tie behavior</t>
  </si>
  <si>
    <t>Record evidence and decisions: Define tie behavior</t>
  </si>
  <si>
    <t>TSK-201</t>
  </si>
  <si>
    <t>Analyze and document - Use transaction-time geography</t>
  </si>
  <si>
    <t>Analyze and document: Use transaction-time geography</t>
  </si>
  <si>
    <t>TSK-202</t>
  </si>
  <si>
    <t>Design approach - Use transaction-time geography</t>
  </si>
  <si>
    <t>Design approach: Use transaction-time geography</t>
  </si>
  <si>
    <t>TSK-203</t>
  </si>
  <si>
    <t>Implement SQL or artifact - Use transaction-time geography</t>
  </si>
  <si>
    <t>TSK-204</t>
  </si>
  <si>
    <t>Create and execute tests - Use transaction-time geography</t>
  </si>
  <si>
    <t>Create and execute tests: Use transaction-time geography</t>
  </si>
  <si>
    <t>TSK-205</t>
  </si>
  <si>
    <t>Record evidence and decisions - Use transaction-time geography</t>
  </si>
  <si>
    <t>Record evidence and decisions: Use transaction-time geography</t>
  </si>
  <si>
    <t>TSK-206</t>
  </si>
  <si>
    <t>Analyze and document - Parameterize period</t>
  </si>
  <si>
    <t>Analyze and document: Parameterize period</t>
  </si>
  <si>
    <t>TSK-207</t>
  </si>
  <si>
    <t>Design approach - Parameterize period</t>
  </si>
  <si>
    <t>Design approach: Parameterize period</t>
  </si>
  <si>
    <t>TSK-208</t>
  </si>
  <si>
    <t>Implement SQL or artifact - Parameterize period</t>
  </si>
  <si>
    <t>TSK-209</t>
  </si>
  <si>
    <t>Create and execute tests - Parameterize period</t>
  </si>
  <si>
    <t>Create and execute tests: Parameterize period</t>
  </si>
  <si>
    <t>TSK-210</t>
  </si>
  <si>
    <t>Record evidence and decisions - Parameterize period</t>
  </si>
  <si>
    <t>Record evidence and decisions: Parameterize period</t>
  </si>
  <si>
    <t>TSK-211</t>
  </si>
  <si>
    <t>Analyze and document - Create watermark table</t>
  </si>
  <si>
    <t>Analyze and document: Create watermark table</t>
  </si>
  <si>
    <t>TSK-212</t>
  </si>
  <si>
    <t>Design approach - Create watermark table</t>
  </si>
  <si>
    <t>Design approach: Create watermark table</t>
  </si>
  <si>
    <t>TSK-213</t>
  </si>
  <si>
    <t>Implement SQL or artifact - Create watermark table</t>
  </si>
  <si>
    <t>TSK-214</t>
  </si>
  <si>
    <t>Create and execute tests - Create watermark table</t>
  </si>
  <si>
    <t>Create and execute tests: Create watermark table</t>
  </si>
  <si>
    <t>TSK-215</t>
  </si>
  <si>
    <t>Record evidence and decisions - Create watermark table</t>
  </si>
  <si>
    <t>Record evidence and decisions: Create watermark table</t>
  </si>
  <si>
    <t>TSK-216</t>
  </si>
  <si>
    <t>Analyze and document - Read bounded source window</t>
  </si>
  <si>
    <t>Analyze and document: Read bounded source window</t>
  </si>
  <si>
    <t>TSK-217</t>
  </si>
  <si>
    <t>Design approach - Read bounded source window</t>
  </si>
  <si>
    <t>Design approach: Read bounded source window</t>
  </si>
  <si>
    <t>TSK-218</t>
  </si>
  <si>
    <t>Implement SQL or artifact - Read bounded source window</t>
  </si>
  <si>
    <t>TSK-219</t>
  </si>
  <si>
    <t>Create and execute tests - Read bounded source window</t>
  </si>
  <si>
    <t>Create and execute tests: Read bounded source window</t>
  </si>
  <si>
    <t>TSK-220</t>
  </si>
  <si>
    <t>Record evidence and decisions - Read bounded source window</t>
  </si>
  <si>
    <t>Record evidence and decisions: Read bounded source window</t>
  </si>
  <si>
    <t>TSK-221</t>
  </si>
  <si>
    <t>Analyze and document - Advance only on success</t>
  </si>
  <si>
    <t>Analyze and document: Advance only on success</t>
  </si>
  <si>
    <t>TSK-222</t>
  </si>
  <si>
    <t>Design approach - Advance only on success</t>
  </si>
  <si>
    <t>Design approach: Advance only on success</t>
  </si>
  <si>
    <t>TSK-223</t>
  </si>
  <si>
    <t>Implement SQL or artifact - Advance only on success</t>
  </si>
  <si>
    <t>TSK-224</t>
  </si>
  <si>
    <t>Create and execute tests - Advance only on success</t>
  </si>
  <si>
    <t>Create and execute tests: Advance only on success</t>
  </si>
  <si>
    <t>TSK-225</t>
  </si>
  <si>
    <t>Record evidence and decisions - Advance only on success</t>
  </si>
  <si>
    <t>Record evidence and decisions: Advance only on success</t>
  </si>
  <si>
    <t>TSK-226</t>
  </si>
  <si>
    <t>Analyze and document - Support restart</t>
  </si>
  <si>
    <t>Analyze and document: Support restart</t>
  </si>
  <si>
    <t>TSK-227</t>
  </si>
  <si>
    <t>Design approach - Support restart</t>
  </si>
  <si>
    <t>Design approach: Support restart</t>
  </si>
  <si>
    <t>TSK-228</t>
  </si>
  <si>
    <t>Implement SQL or artifact - Support restart</t>
  </si>
  <si>
    <t>TSK-229</t>
  </si>
  <si>
    <t>Create and execute tests - Support restart</t>
  </si>
  <si>
    <t>Create and execute tests: Support restart</t>
  </si>
  <si>
    <t>TSK-230</t>
  </si>
  <si>
    <t>Record evidence and decisions - Support restart</t>
  </si>
  <si>
    <t>Record evidence and decisions: Support restart</t>
  </si>
  <si>
    <t>TSK-231</t>
  </si>
  <si>
    <t>Analyze and document - Persist batch metrics</t>
  </si>
  <si>
    <t>Analyze and document: Persist batch metrics</t>
  </si>
  <si>
    <t>TSK-232</t>
  </si>
  <si>
    <t>Design approach - Persist batch metrics</t>
  </si>
  <si>
    <t>Design approach: Persist batch metrics</t>
  </si>
  <si>
    <t>TSK-233</t>
  </si>
  <si>
    <t>Implement SQL or artifact - Persist batch metrics</t>
  </si>
  <si>
    <t>TSK-234</t>
  </si>
  <si>
    <t>Create and execute tests - Persist batch metrics</t>
  </si>
  <si>
    <t>Create and execute tests: Persist batch metrics</t>
  </si>
  <si>
    <t>TSK-235</t>
  </si>
  <si>
    <t>Record evidence and decisions - Persist batch metrics</t>
  </si>
  <si>
    <t>Record evidence and decisions: Persist batch metrics</t>
  </si>
  <si>
    <t>TSK-236</t>
  </si>
  <si>
    <t>Analyze and document - Define source-delete strategy</t>
  </si>
  <si>
    <t>Analyze and document: Define source-delete strategy</t>
  </si>
  <si>
    <t>TSK-237</t>
  </si>
  <si>
    <t>Design approach - Define source-delete strategy</t>
  </si>
  <si>
    <t>Design approach: Define source-delete strategy</t>
  </si>
  <si>
    <t>TSK-238</t>
  </si>
  <si>
    <t>Implement SQL or artifact - Define source-delete strategy</t>
  </si>
  <si>
    <t>TSK-239</t>
  </si>
  <si>
    <t>Create and execute tests - Define source-delete strategy</t>
  </si>
  <si>
    <t>Create and execute tests: Define source-delete strategy</t>
  </si>
  <si>
    <t>TSK-240</t>
  </si>
  <si>
    <t>Record evidence and decisions - Define source-delete strategy</t>
  </si>
  <si>
    <t>Record evidence and decisions: Define source-delete strategy</t>
  </si>
  <si>
    <t>TSK-241</t>
  </si>
  <si>
    <t>Analyze and document - Apply lookback window</t>
  </si>
  <si>
    <t>Analyze and document: Apply lookback window</t>
  </si>
  <si>
    <t>TSK-242</t>
  </si>
  <si>
    <t>Design approach - Apply lookback window</t>
  </si>
  <si>
    <t>Design approach: Apply lookback window</t>
  </si>
  <si>
    <t>TSK-243</t>
  </si>
  <si>
    <t>Implement SQL or artifact - Apply lookback window</t>
  </si>
  <si>
    <t>TSK-244</t>
  </si>
  <si>
    <t>Create and execute tests - Apply lookback window</t>
  </si>
  <si>
    <t>Create and execute tests: Apply lookback window</t>
  </si>
  <si>
    <t>TSK-245</t>
  </si>
  <si>
    <t>Record evidence and decisions - Apply lookback window</t>
  </si>
  <si>
    <t>Record evidence and decisions: Apply lookback window</t>
  </si>
  <si>
    <t>TSK-246</t>
  </si>
  <si>
    <t>Analyze and document - Prevent overlapping runs</t>
  </si>
  <si>
    <t>Analyze and document: Prevent overlapping runs</t>
  </si>
  <si>
    <t>TSK-247</t>
  </si>
  <si>
    <t>Design approach - Prevent overlapping runs</t>
  </si>
  <si>
    <t>Design approach: Prevent overlapping runs</t>
  </si>
  <si>
    <t>TSK-248</t>
  </si>
  <si>
    <t>Implement SQL or artifact - Prevent overlapping runs</t>
  </si>
  <si>
    <t>TSK-249</t>
  </si>
  <si>
    <t>Create and execute tests - Prevent overlapping runs</t>
  </si>
  <si>
    <t>Create and execute tests: Prevent overlapping runs</t>
  </si>
  <si>
    <t>TSK-250</t>
  </si>
  <si>
    <t>Record evidence and decisions - Prevent overlapping runs</t>
  </si>
  <si>
    <t>Record evidence and decisions: Prevent overlapping runs</t>
  </si>
  <si>
    <t>TSK-251</t>
  </si>
  <si>
    <t>Analyze and document - Create operational logging</t>
  </si>
  <si>
    <t>Analyze and document: Create operational logging</t>
  </si>
  <si>
    <t>TSK-252</t>
  </si>
  <si>
    <t>Design approach - Create operational logging</t>
  </si>
  <si>
    <t>Design approach: Create operational logging</t>
  </si>
  <si>
    <t>TSK-253</t>
  </si>
  <si>
    <t>Implement SQL or artifact - Create operational logging</t>
  </si>
  <si>
    <t>TSK-254</t>
  </si>
  <si>
    <t>Create and execute tests - Create operational logging</t>
  </si>
  <si>
    <t>Create and execute tests: Create operational logging</t>
  </si>
  <si>
    <t>TSK-255</t>
  </si>
  <si>
    <t>Record evidence and decisions - Create operational logging</t>
  </si>
  <si>
    <t>Record evidence and decisions: Create operational logging</t>
  </si>
  <si>
    <t>TSK-256</t>
  </si>
  <si>
    <t>Analyze and document - Capture baseline</t>
  </si>
  <si>
    <t>Analyze and document: Capture baseline</t>
  </si>
  <si>
    <t>TSK-257</t>
  </si>
  <si>
    <t>Design approach - Capture baseline</t>
  </si>
  <si>
    <t>Design approach: Capture baseline</t>
  </si>
  <si>
    <t>TSK-258</t>
  </si>
  <si>
    <t>Implement SQL or artifact - Capture baseline</t>
  </si>
  <si>
    <t>TSK-259</t>
  </si>
  <si>
    <t>Create and execute tests - Capture baseline</t>
  </si>
  <si>
    <t>Create and execute tests: Capture baseline</t>
  </si>
  <si>
    <t>TSK-260</t>
  </si>
  <si>
    <t>Record evidence and decisions - Capture baseline</t>
  </si>
  <si>
    <t>Record evidence and decisions: Capture baseline</t>
  </si>
  <si>
    <t>TSK-261</t>
  </si>
  <si>
    <t>Analyze and document - Design clustered strategy</t>
  </si>
  <si>
    <t>Analyze and document: Design clustered strategy</t>
  </si>
  <si>
    <t>TSK-262</t>
  </si>
  <si>
    <t>Design approach - Design clustered strategy</t>
  </si>
  <si>
    <t>Design approach: Design clustered strategy</t>
  </si>
  <si>
    <t>TSK-263</t>
  </si>
  <si>
    <t>Implement SQL or artifact - Design clustered strategy</t>
  </si>
  <si>
    <t>TSK-264</t>
  </si>
  <si>
    <t>Create and execute tests - Design clustered strategy</t>
  </si>
  <si>
    <t>Create and execute tests: Design clustered strategy</t>
  </si>
  <si>
    <t>TSK-265</t>
  </si>
  <si>
    <t>Record evidence and decisions - Design clustered strategy</t>
  </si>
  <si>
    <t>Record evidence and decisions: Design clustered strategy</t>
  </si>
  <si>
    <t>TSK-266</t>
  </si>
  <si>
    <t>Analyze and document - Design covering indexes</t>
  </si>
  <si>
    <t>Analyze and document: Design covering indexes</t>
  </si>
  <si>
    <t>TSK-267</t>
  </si>
  <si>
    <t>Design approach - Design covering indexes</t>
  </si>
  <si>
    <t>Design approach: Design covering indexes</t>
  </si>
  <si>
    <t>TSK-268</t>
  </si>
  <si>
    <t>Implement SQL or artifact - Design covering indexes</t>
  </si>
  <si>
    <t>TSK-269</t>
  </si>
  <si>
    <t>Create and execute tests - Design covering indexes</t>
  </si>
  <si>
    <t>Create and execute tests: Design covering indexes</t>
  </si>
  <si>
    <t>TSK-270</t>
  </si>
  <si>
    <t>Record evidence and decisions - Design covering indexes</t>
  </si>
  <si>
    <t>Record evidence and decisions: Design covering indexes</t>
  </si>
  <si>
    <t>TSK-271</t>
  </si>
  <si>
    <t>Analyze and document - Evaluate date partitioning</t>
  </si>
  <si>
    <t>Analyze and document: Evaluate date partitioning</t>
  </si>
  <si>
    <t>TSK-272</t>
  </si>
  <si>
    <t>Design approach - Evaluate date partitioning</t>
  </si>
  <si>
    <t>Design approach: Evaluate date partitioning</t>
  </si>
  <si>
    <t>TSK-273</t>
  </si>
  <si>
    <t>Implement SQL or artifact - Evaluate date partitioning</t>
  </si>
  <si>
    <t>TSK-274</t>
  </si>
  <si>
    <t>Create and execute tests - Evaluate date partitioning</t>
  </si>
  <si>
    <t>Create and execute tests: Evaluate date partitioning</t>
  </si>
  <si>
    <t>TSK-275</t>
  </si>
  <si>
    <t>Record evidence and decisions - Evaluate date partitioning</t>
  </si>
  <si>
    <t>Record evidence and decisions: Evaluate date partitioning</t>
  </si>
  <si>
    <t>TSK-276</t>
  </si>
  <si>
    <t>Analyze and document - Remove non-sargable predicates</t>
  </si>
  <si>
    <t>Analyze and document: Remove non-sargable predicates</t>
  </si>
  <si>
    <t>TSK-277</t>
  </si>
  <si>
    <t>Design approach - Remove non-sargable predicates</t>
  </si>
  <si>
    <t>Design approach: Remove non-sargable predicates</t>
  </si>
  <si>
    <t>TSK-278</t>
  </si>
  <si>
    <t>Implement SQL or artifact - Remove non-sargable predicates</t>
  </si>
  <si>
    <t>TSK-279</t>
  </si>
  <si>
    <t>Create and execute tests - Remove non-sargable predicates</t>
  </si>
  <si>
    <t>Create and execute tests: Remove non-sargable predicates</t>
  </si>
  <si>
    <t>TSK-280</t>
  </si>
  <si>
    <t>Record evidence and decisions - Remove non-sargable predicates</t>
  </si>
  <si>
    <t>Record evidence and decisions: Remove non-sargable predicates</t>
  </si>
  <si>
    <t>TSK-281</t>
  </si>
  <si>
    <t>Analyze and document - Maintain statistics</t>
  </si>
  <si>
    <t>Analyze and document: Maintain statistics</t>
  </si>
  <si>
    <t>TSK-282</t>
  </si>
  <si>
    <t>Design approach - Maintain statistics</t>
  </si>
  <si>
    <t>Design approach: Maintain statistics</t>
  </si>
  <si>
    <t>TSK-283</t>
  </si>
  <si>
    <t>Implement SQL or artifact - Maintain statistics</t>
  </si>
  <si>
    <t>TSK-284</t>
  </si>
  <si>
    <t>Create and execute tests - Maintain statistics</t>
  </si>
  <si>
    <t>Create and execute tests: Maintain statistics</t>
  </si>
  <si>
    <t>TSK-285</t>
  </si>
  <si>
    <t>Record evidence and decisions - Maintain statistics</t>
  </si>
  <si>
    <t>Record evidence and decisions: Maintain statistics</t>
  </si>
  <si>
    <t>TSK-286</t>
  </si>
  <si>
    <t>Analyze and document - Create summary table</t>
  </si>
  <si>
    <t>Analyze and document: Create summary table</t>
  </si>
  <si>
    <t>TSK-287</t>
  </si>
  <si>
    <t>Design approach - Create summary table</t>
  </si>
  <si>
    <t>Design approach: Create summary table</t>
  </si>
  <si>
    <t>TSK-288</t>
  </si>
  <si>
    <t>Implement SQL or artifact - Create summary table</t>
  </si>
  <si>
    <t>TSK-289</t>
  </si>
  <si>
    <t>Create and execute tests - Create summary table</t>
  </si>
  <si>
    <t>Create and execute tests: Create summary table</t>
  </si>
  <si>
    <t>TSK-290</t>
  </si>
  <si>
    <t>Record evidence and decisions - Create summary table</t>
  </si>
  <si>
    <t>Record evidence and decisions: Create summary table</t>
  </si>
  <si>
    <t>TSK-291</t>
  </si>
  <si>
    <t>Analyze and document - Detect skew and parameter issues</t>
  </si>
  <si>
    <t>Analyze and document: Detect skew and parameter issues</t>
  </si>
  <si>
    <t>TSK-292</t>
  </si>
  <si>
    <t>Design approach - Detect skew and parameter issues</t>
  </si>
  <si>
    <t>Design approach: Detect skew and parameter issues</t>
  </si>
  <si>
    <t>TSK-293</t>
  </si>
  <si>
    <t>Implement SQL or artifact - Detect skew and parameter issues</t>
  </si>
  <si>
    <t>TSK-294</t>
  </si>
  <si>
    <t>Create and execute tests - Detect skew and parameter issues</t>
  </si>
  <si>
    <t>Create and execute tests: Detect skew and parameter issues</t>
  </si>
  <si>
    <t>TSK-295</t>
  </si>
  <si>
    <t>Record evidence and decisions - Detect skew and parameter issues</t>
  </si>
  <si>
    <t>Record evidence and decisions: Detect skew and parameter issues</t>
  </si>
  <si>
    <t>TSK-296</t>
  </si>
  <si>
    <t>Analyze and document - Compare before and after</t>
  </si>
  <si>
    <t>Analyze and document: Compare before and after</t>
  </si>
  <si>
    <t>TSK-297</t>
  </si>
  <si>
    <t>Design approach - Compare before and after</t>
  </si>
  <si>
    <t>Design approach: Compare before and after</t>
  </si>
  <si>
    <t>TSK-298</t>
  </si>
  <si>
    <t>Implement SQL or artifact - Compare before and after</t>
  </si>
  <si>
    <t>TSK-299</t>
  </si>
  <si>
    <t>Create and execute tests - Compare before and after</t>
  </si>
  <si>
    <t>Create and execute tests: Compare before and after</t>
  </si>
  <si>
    <t>TSK-300</t>
  </si>
  <si>
    <t>Record evidence and decisions - Compare before and after</t>
  </si>
  <si>
    <t>Record evidence and decisions: Compare before and after</t>
  </si>
  <si>
    <t>TSK-301</t>
  </si>
  <si>
    <t>Analyze and document - Build source-to-target control totals</t>
  </si>
  <si>
    <t>Analyze and document: Build source-to-target control totals</t>
  </si>
  <si>
    <t>TSK-302</t>
  </si>
  <si>
    <t>Design approach - Build source-to-target control totals</t>
  </si>
  <si>
    <t>Design approach: Build source-to-target control totals</t>
  </si>
  <si>
    <t>TSK-303</t>
  </si>
  <si>
    <t>Implement SQL or artifact - Build source-to-target control totals</t>
  </si>
  <si>
    <t>TSK-304</t>
  </si>
  <si>
    <t>Create and execute tests - Build source-to-target control totals</t>
  </si>
  <si>
    <t>Create and execute tests: Build source-to-target control totals</t>
  </si>
  <si>
    <t>TSK-305</t>
  </si>
  <si>
    <t>Record evidence and decisions - Build source-to-target control totals</t>
  </si>
  <si>
    <t>Record evidence and decisions: Build source-to-target control totals</t>
  </si>
  <si>
    <t>TSK-306</t>
  </si>
  <si>
    <t>Analyze and document - Investigate revenue restatement</t>
  </si>
  <si>
    <t>Analyze and document: Investigate revenue restatement</t>
  </si>
  <si>
    <t>TSK-307</t>
  </si>
  <si>
    <t>Design approach - Investigate revenue restatement</t>
  </si>
  <si>
    <t>Design approach: Investigate revenue restatement</t>
  </si>
  <si>
    <t>TSK-308</t>
  </si>
  <si>
    <t>Implement SQL or artifact - Investigate revenue restatement</t>
  </si>
  <si>
    <t>TSK-309</t>
  </si>
  <si>
    <t>Create and execute tests - Investigate revenue restatement</t>
  </si>
  <si>
    <t>Create and execute tests: Investigate revenue restatement</t>
  </si>
  <si>
    <t>TSK-310</t>
  </si>
  <si>
    <t>Record evidence and decisions - Investigate revenue restatement</t>
  </si>
  <si>
    <t>Record evidence and decisions: Investigate revenue restatement</t>
  </si>
  <si>
    <t>TSK-311</t>
  </si>
  <si>
    <t>Analyze and document - Classify variances</t>
  </si>
  <si>
    <t>Analyze and document: Classify variances</t>
  </si>
  <si>
    <t>TSK-312</t>
  </si>
  <si>
    <t>Design approach - Classify variances</t>
  </si>
  <si>
    <t>Design approach: Classify variances</t>
  </si>
  <si>
    <t>TSK-313</t>
  </si>
  <si>
    <t>Implement SQL or artifact - Classify variances</t>
  </si>
  <si>
    <t>TSK-314</t>
  </si>
  <si>
    <t>Create and execute tests - Classify variances</t>
  </si>
  <si>
    <t>Create and execute tests: Classify variances</t>
  </si>
  <si>
    <t>TSK-315</t>
  </si>
  <si>
    <t>Record evidence and decisions - Classify variances</t>
  </si>
  <si>
    <t>Record evidence and decisions: Classify variances</t>
  </si>
  <si>
    <t>TSK-316</t>
  </si>
  <si>
    <t>Analyze and document - Create lineage evidence</t>
  </si>
  <si>
    <t>Analyze and document: Create lineage evidence</t>
  </si>
  <si>
    <t>TSK-317</t>
  </si>
  <si>
    <t>Design approach - Create lineage evidence</t>
  </si>
  <si>
    <t>Design approach: Create lineage evidence</t>
  </si>
  <si>
    <t>TSK-318</t>
  </si>
  <si>
    <t>Implement SQL or artifact - Create lineage evidence</t>
  </si>
  <si>
    <t>TSK-319</t>
  </si>
  <si>
    <t>Create and execute tests - Create lineage evidence</t>
  </si>
  <si>
    <t>Create and execute tests: Create lineage evidence</t>
  </si>
  <si>
    <t>TSK-320</t>
  </si>
  <si>
    <t>Record evidence and decisions - Create lineage evidence</t>
  </si>
  <si>
    <t>Record evidence and decisions: Create lineage evidence</t>
  </si>
  <si>
    <t>TSK-321</t>
  </si>
  <si>
    <t>Analyze and document - Set reconciliation thresholds</t>
  </si>
  <si>
    <t>Analyze and document: Set reconciliation thresholds</t>
  </si>
  <si>
    <t>TSK-322</t>
  </si>
  <si>
    <t>Design approach - Set reconciliation thresholds</t>
  </si>
  <si>
    <t>Design approach: Set reconciliation thresholds</t>
  </si>
  <si>
    <t>TSK-323</t>
  </si>
  <si>
    <t>Implement SQL or artifact - Set reconciliation thresholds</t>
  </si>
  <si>
    <t>TSK-324</t>
  </si>
  <si>
    <t>Create and execute tests - Set reconciliation thresholds</t>
  </si>
  <si>
    <t>Create and execute tests: Set reconciliation thresholds</t>
  </si>
  <si>
    <t>TSK-325</t>
  </si>
  <si>
    <t>Record evidence and decisions - Set reconciliation thresholds</t>
  </si>
  <si>
    <t>Record evidence and decisions: Set reconciliation thresholds</t>
  </si>
  <si>
    <t>TSK-326</t>
  </si>
  <si>
    <t>Analyze and document - Create support runbook</t>
  </si>
  <si>
    <t>Analyze and document: Create support runbook</t>
  </si>
  <si>
    <t>TSK-327</t>
  </si>
  <si>
    <t>Design approach - Create support runbook</t>
  </si>
  <si>
    <t>Design approach: Create support runbook</t>
  </si>
  <si>
    <t>TSK-328</t>
  </si>
  <si>
    <t>Implement SQL or artifact - Create support runbook</t>
  </si>
  <si>
    <t>TSK-329</t>
  </si>
  <si>
    <t>Create and execute tests - Create support runbook</t>
  </si>
  <si>
    <t>Create and execute tests: Create support runbook</t>
  </si>
  <si>
    <t>TSK-330</t>
  </si>
  <si>
    <t>Record evidence and decisions - Create support runbook</t>
  </si>
  <si>
    <t>Record evidence and decisions: Create support runbook</t>
  </si>
  <si>
    <t>TSK-331</t>
  </si>
  <si>
    <t>Analyze and document - Organize source control</t>
  </si>
  <si>
    <t>Analyze and document: Organize source control</t>
  </si>
  <si>
    <t>TSK-332</t>
  </si>
  <si>
    <t>Design approach - Organize source control</t>
  </si>
  <si>
    <t>Design approach: Organize source control</t>
  </si>
  <si>
    <t>TSK-333</t>
  </si>
  <si>
    <t>Implement SQL or artifact - Organize source control</t>
  </si>
  <si>
    <t>TSK-334</t>
  </si>
  <si>
    <t>Create and execute tests - Organize source control</t>
  </si>
  <si>
    <t>Create and execute tests: Organize source control</t>
  </si>
  <si>
    <t>TSK-335</t>
  </si>
  <si>
    <t>Record evidence and decisions - Organize source control</t>
  </si>
  <si>
    <t>Record evidence and decisions: Organize source control</t>
  </si>
  <si>
    <t>TSK-336</t>
  </si>
  <si>
    <t>Analyze and document - Create deployment order</t>
  </si>
  <si>
    <t>Analyze and document: Create deployment order</t>
  </si>
  <si>
    <t>TSK-337</t>
  </si>
  <si>
    <t>Design approach - Create deployment order</t>
  </si>
  <si>
    <t>Design approach: Create deployment order</t>
  </si>
  <si>
    <t>TSK-338</t>
  </si>
  <si>
    <t>Implement SQL or artifact - Create deployment order</t>
  </si>
  <si>
    <t>TSK-339</t>
  </si>
  <si>
    <t>Create and execute tests - Create deployment order</t>
  </si>
  <si>
    <t>Create and execute tests: Create deployment order</t>
  </si>
  <si>
    <t>TSK-340</t>
  </si>
  <si>
    <t>Record evidence and decisions - Create deployment order</t>
  </si>
  <si>
    <t>Record evidence and decisions: Create deployment order</t>
  </si>
  <si>
    <t>TSK-341</t>
  </si>
  <si>
    <t>Analyze and document - Create architecture document</t>
  </si>
  <si>
    <t>Analyze and document: Create architecture document</t>
  </si>
  <si>
    <t>TSK-342</t>
  </si>
  <si>
    <t>Design approach - Create architecture document</t>
  </si>
  <si>
    <t>Design approach: Create architecture document</t>
  </si>
  <si>
    <t>TSK-343</t>
  </si>
  <si>
    <t>Implement SQL or artifact - Create architecture document</t>
  </si>
  <si>
    <t>TSK-344</t>
  </si>
  <si>
    <t>Create and execute tests - Create architecture document</t>
  </si>
  <si>
    <t>Create and execute tests: Create architecture document</t>
  </si>
  <si>
    <t>TSK-345</t>
  </si>
  <si>
    <t>Record evidence and decisions - Create architecture document</t>
  </si>
  <si>
    <t>Record evidence and decisions: Create architecture document</t>
  </si>
  <si>
    <t>TSK-346</t>
  </si>
  <si>
    <t>Analyze and document - Capture test evidence</t>
  </si>
  <si>
    <t>Analyze and document: Capture test evidence</t>
  </si>
  <si>
    <t>TSK-347</t>
  </si>
  <si>
    <t>Design approach - Capture test evidence</t>
  </si>
  <si>
    <t>Design approach: Capture test evidence</t>
  </si>
  <si>
    <t>TSK-348</t>
  </si>
  <si>
    <t>Implement SQL or artifact - Capture test evidence</t>
  </si>
  <si>
    <t>TSK-349</t>
  </si>
  <si>
    <t>Create and execute tests - Capture test evidence</t>
  </si>
  <si>
    <t>Create and execute tests: Capture test evidence</t>
  </si>
  <si>
    <t>TSK-350</t>
  </si>
  <si>
    <t>Record evidence and decisions - Capture test evidence</t>
  </si>
  <si>
    <t>Record evidence and decisions: Capture test evidence</t>
  </si>
  <si>
    <t>TSK-351</t>
  </si>
  <si>
    <t>Analyze and document - Capture performance evidence</t>
  </si>
  <si>
    <t>Analyze and document: Capture performance evidence</t>
  </si>
  <si>
    <t>TSK-352</t>
  </si>
  <si>
    <t>Design approach - Capture performance evidence</t>
  </si>
  <si>
    <t>Design approach: Capture performance evidence</t>
  </si>
  <si>
    <t>TSK-353</t>
  </si>
  <si>
    <t>Implement SQL or artifact - Capture performance evidence</t>
  </si>
  <si>
    <t>TSK-354</t>
  </si>
  <si>
    <t>Create and execute tests - Capture performance evidence</t>
  </si>
  <si>
    <t>Create and execute tests: Capture performance evidence</t>
  </si>
  <si>
    <t>TSK-355</t>
  </si>
  <si>
    <t>Record evidence and decisions - Capture performance evidence</t>
  </si>
  <si>
    <t>Record evidence and decisions: Capture performance evidence</t>
  </si>
  <si>
    <t>TSK-356</t>
  </si>
  <si>
    <t>Analyze and document - Prepare honest resume wording</t>
  </si>
  <si>
    <t>Analyze and document: Prepare honest resume wording</t>
  </si>
  <si>
    <t>TSK-357</t>
  </si>
  <si>
    <t>Design approach - Prepare honest resume wording</t>
  </si>
  <si>
    <t>Design approach: Prepare honest resume wording</t>
  </si>
  <si>
    <t>TSK-358</t>
  </si>
  <si>
    <t>Implement SQL or artifact - Prepare honest resume wording</t>
  </si>
  <si>
    <t>TSK-359</t>
  </si>
  <si>
    <t>Create and execute tests - Prepare honest resume wording</t>
  </si>
  <si>
    <t>Create and execute tests: Prepare honest resume wording</t>
  </si>
  <si>
    <t>TSK-360</t>
  </si>
  <si>
    <t>Record evidence and decisions - Prepare honest resume wording</t>
  </si>
  <si>
    <t>Record evidence and decisions: Prepare honest resume wording</t>
  </si>
  <si>
    <t>TSK-361</t>
  </si>
  <si>
    <t>Analyze and document - Prepare design defense</t>
  </si>
  <si>
    <t>Analyze and document: Prepare design defense</t>
  </si>
  <si>
    <t>TSK-362</t>
  </si>
  <si>
    <t>Design approach - Prepare design defense</t>
  </si>
  <si>
    <t>Design approach: Prepare design defense</t>
  </si>
  <si>
    <t>TSK-363</t>
  </si>
  <si>
    <t>Implement SQL or artifact - Prepare design defense</t>
  </si>
  <si>
    <t>TSK-364</t>
  </si>
  <si>
    <t>Create and execute tests - Prepare design defense</t>
  </si>
  <si>
    <t>Create and execute tests: Prepare design defense</t>
  </si>
  <si>
    <t>TSK-365</t>
  </si>
  <si>
    <t>Record evidence and decisions - Prepare design defense</t>
  </si>
  <si>
    <t>Record evidence and decisions: Prepare design defense</t>
  </si>
  <si>
    <t>Daily Study Plan: 2 to 3 Hours per Working Day</t>
  </si>
  <si>
    <t>Day #</t>
  </si>
  <si>
    <t>Planned Date</t>
  </si>
  <si>
    <t>Daily Capacity</t>
  </si>
  <si>
    <t>Allocated Hours</t>
  </si>
  <si>
    <t>Task Status</t>
  </si>
  <si>
    <t>Task Completion %</t>
  </si>
  <si>
    <t>Daily Planned Total</t>
  </si>
  <si>
    <t>Notes</t>
  </si>
  <si>
    <t>Detailed Test Cases and Evidence Tracker</t>
  </si>
  <si>
    <t>Test Case ID</t>
  </si>
  <si>
    <t>Test Area</t>
  </si>
  <si>
    <t>Scenario</t>
  </si>
  <si>
    <t>Preconditions / Test Data</t>
  </si>
  <si>
    <t>Execution Steps</t>
  </si>
  <si>
    <t>Expected Result</t>
  </si>
  <si>
    <t>Severity</t>
  </si>
  <si>
    <t>Actual Result</t>
  </si>
  <si>
    <t>Evidence Reference</t>
  </si>
  <si>
    <t>Defect / Notes</t>
  </si>
  <si>
    <t>TC-001</t>
  </si>
  <si>
    <t>Related object for REQ-001 is deployed</t>
  </si>
  <si>
    <t>Prepare minimum data for Confirm analytical scope; execute relevant SQL; compare actual result with acceptance criteria.</t>
  </si>
  <si>
    <t>Critical</t>
  </si>
  <si>
    <t>Not Run</t>
  </si>
  <si>
    <t>TC-002</t>
  </si>
  <si>
    <t>Related object for REQ-002 is deployed</t>
  </si>
  <si>
    <t>Prepare minimum data for Declare FactOrders grain; execute relevant SQL; compare actual result with acceptance criteria.</t>
  </si>
  <si>
    <t>TC-003</t>
  </si>
  <si>
    <t>Related object for REQ-003 is deployed</t>
  </si>
  <si>
    <t>Prepare minimum data for Declare FactShipment grain; execute relevant SQL; compare actual result with acceptance criteria.</t>
  </si>
  <si>
    <t>TC-004</t>
  </si>
  <si>
    <t>Related object for REQ-004 is deployed</t>
  </si>
  <si>
    <t>Prepare minimum data for Design star schema; execute relevant SQL; compare actual result with acceptance criteria.</t>
  </si>
  <si>
    <t>TC-005</t>
  </si>
  <si>
    <t>Related object for REQ-005 is deployed</t>
  </si>
  <si>
    <t>Prepare minimum data for Use surrogate keys; execute relevant SQL; compare actual result with acceptance criteria.</t>
  </si>
  <si>
    <t>TC-006</t>
  </si>
  <si>
    <t>Related object for REQ-006 is deployed</t>
  </si>
  <si>
    <t>Prepare minimum data for Create unknown members; execute relevant SQL; compare actual result with acceptance criteria.</t>
  </si>
  <si>
    <t>TC-007</t>
  </si>
  <si>
    <t>Related object for REQ-007 is deployed</t>
  </si>
  <si>
    <t>Prepare minimum data for Define additive measures; execute relevant SQL; compare actual result with acceptance criteria.</t>
  </si>
  <si>
    <t>Medium</t>
  </si>
  <si>
    <t>TC-008</t>
  </si>
  <si>
    <t>Related object for REQ-008 is deployed</t>
  </si>
  <si>
    <t>Prepare minimum data for Add audit columns; execute relevant SQL; compare actual result with acceptance criteria.</t>
  </si>
  <si>
    <t>TC-009</t>
  </si>
  <si>
    <t>Related object for REQ-009 is deployed</t>
  </si>
  <si>
    <t>Prepare minimum data for Role-playing date dimensions; execute relevant SQL; compare actual result with acceptance criteria.</t>
  </si>
  <si>
    <t>TC-010</t>
  </si>
  <si>
    <t>Related object for REQ-010 is deployed</t>
  </si>
  <si>
    <t>Prepare minimum data for Enforce key integrity; execute relevant SQL; compare actual result with acceptance criteria.</t>
  </si>
  <si>
    <t>TC-011</t>
  </si>
  <si>
    <t>Related object for REQ-011 is deployed</t>
  </si>
  <si>
    <t>Prepare minimum data for Track customer changes; execute relevant SQL; compare actual result with acceptance criteria.</t>
  </si>
  <si>
    <t>TC-012</t>
  </si>
  <si>
    <t>Related object for REQ-012 is deployed</t>
  </si>
  <si>
    <t>Prepare minimum data for Ignore non-changing records; execute relevant SQL; compare actual result with acceptance criteria.</t>
  </si>
  <si>
    <t>TC-013</t>
  </si>
  <si>
    <t>Related object for REQ-013 is deployed</t>
  </si>
  <si>
    <t>Prepare minimum data for Handle new customers; execute relevant SQL; compare actual result with acceptance criteria.</t>
  </si>
  <si>
    <t>TC-014</t>
  </si>
  <si>
    <t>Related object for REQ-014 is deployed</t>
  </si>
  <si>
    <t>Prepare minimum data for Close prior version; execute relevant SQL; compare actual result with acceptance criteria.</t>
  </si>
  <si>
    <t>TC-015</t>
  </si>
  <si>
    <t>Related object for REQ-015 is deployed</t>
  </si>
  <si>
    <t>Prepare minimum data for Maintain current-row uniqueness; execute relevant SQL; compare actual result with acceptance criteria.</t>
  </si>
  <si>
    <t>TC-016</t>
  </si>
  <si>
    <t>Related object for REQ-016 is deployed</t>
  </si>
  <si>
    <t>Prepare minimum data for Null-safe comparison; execute relevant SQL; compare actual result with acceptance criteria.</t>
  </si>
  <si>
    <t>TC-017</t>
  </si>
  <si>
    <t>Related object for REQ-017 is deployed</t>
  </si>
  <si>
    <t>Prepare minimum data for Define late-arriving customer handling; execute relevant SQL; compare actual result with acceptance criteria.</t>
  </si>
  <si>
    <t>TC-018</t>
  </si>
  <si>
    <t>Related object for REQ-018 is deployed</t>
  </si>
  <si>
    <t>Prepare minimum data for Capture change metadata; execute relevant SQL; compare actual result with acceptance criteria.</t>
  </si>
  <si>
    <t>TC-019</t>
  </si>
  <si>
    <t>Related object for REQ-019 is deployed</t>
  </si>
  <si>
    <t>Prepare minimum data for Define revenue; execute relevant SQL; compare actual result with acceptance criteria.</t>
  </si>
  <si>
    <t>TC-020</t>
  </si>
  <si>
    <t>Related object for REQ-020 is deployed</t>
  </si>
  <si>
    <t>Prepare minimum data for Monthly customer revenue; execute relevant SQL; compare actual result with acceptance criteria.</t>
  </si>
  <si>
    <t>TC-021</t>
  </si>
  <si>
    <t>Related object for REQ-021 is deployed</t>
  </si>
  <si>
    <t>Prepare minimum data for Previous month comparison; execute relevant SQL; compare actual result with acceptance criteria.</t>
  </si>
  <si>
    <t>TC-022</t>
  </si>
  <si>
    <t>Related object for REQ-022 is deployed</t>
  </si>
  <si>
    <t>Prepare minimum data for Growth percentage; execute relevant SQL; compare actual result with acceptance criteria.</t>
  </si>
  <si>
    <t>TC-023</t>
  </si>
  <si>
    <t>Related object for REQ-023 is deployed</t>
  </si>
  <si>
    <t>Prepare minimum data for Zero-activity month handling; execute relevant SQL; compare actual result with acceptance criteria.</t>
  </si>
  <si>
    <t>TC-024</t>
  </si>
  <si>
    <t>Related object for REQ-024 is deployed</t>
  </si>
  <si>
    <t>Prepare minimum data for Revenue trend; execute relevant SQL; compare actual result with acceptance criteria.</t>
  </si>
  <si>
    <t>TC-025</t>
  </si>
  <si>
    <t>Related object for REQ-025 is deployed</t>
  </si>
  <si>
    <t>Prepare minimum data for Reporting currency rule; execute relevant SQL; compare actual result with acceptance criteria.</t>
  </si>
  <si>
    <t>TC-026</t>
  </si>
  <si>
    <t>Related object for REQ-026 is deployed</t>
  </si>
  <si>
    <t>Prepare minimum data for Identify duplicate order events; execute relevant SQL; compare actual result with acceptance criteria.</t>
  </si>
  <si>
    <t>TC-027</t>
  </si>
  <si>
    <t>Related object for REQ-027 is deployed</t>
  </si>
  <si>
    <t>Prepare minimum data for Define survivor rule; execute relevant SQL; compare actual result with acceptance criteria.</t>
  </si>
  <si>
    <t>TC-028</t>
  </si>
  <si>
    <t>Related object for REQ-028 is deployed</t>
  </si>
  <si>
    <t>Prepare minimum data for Implement ROW_NUMBER; execute relevant SQL; compare actual result with acceptance criteria.</t>
  </si>
  <si>
    <t>TC-029</t>
  </si>
  <si>
    <t>Related object for REQ-029 is deployed</t>
  </si>
  <si>
    <t>Prepare minimum data for Quarantine rejected rows; execute relevant SQL; compare actual result with acceptance criteria.</t>
  </si>
  <si>
    <t>TC-030</t>
  </si>
  <si>
    <t>Related object for REQ-030 is deployed</t>
  </si>
  <si>
    <t>Prepare minimum data for Ensure idempotency; execute relevant SQL; compare actual result with acceptance criteria.</t>
  </si>
  <si>
    <t>TC-031</t>
  </si>
  <si>
    <t>Related object for REQ-031 is deployed</t>
  </si>
  <si>
    <t>Prepare minimum data for Handle exact ties; execute relevant SQL; compare actual result with acceptance criteria.</t>
  </si>
  <si>
    <t>TC-032</t>
  </si>
  <si>
    <t>Related object for REQ-032 is deployed</t>
  </si>
  <si>
    <t>Prepare minimum data for Define delivery duration; execute relevant SQL; compare actual result with acceptance criteria.</t>
  </si>
  <si>
    <t>TC-033</t>
  </si>
  <si>
    <t>Related object for REQ-033 is deployed</t>
  </si>
  <si>
    <t>Prepare minimum data for Identify late delivery; execute relevant SQL; compare actual result with acceptance criteria.</t>
  </si>
  <si>
    <t>TC-034</t>
  </si>
  <si>
    <t>Related object for REQ-034 is deployed</t>
  </si>
  <si>
    <t>Prepare minimum data for Create non-overlapping buckets; execute relevant SQL; compare actual result with acceptance criteria.</t>
  </si>
  <si>
    <t>TC-035</t>
  </si>
  <si>
    <t>Related object for REQ-035 is deployed</t>
  </si>
  <si>
    <t>Prepare minimum data for Handle undelivered shipments; execute relevant SQL; compare actual result with acceptance criteria.</t>
  </si>
  <si>
    <t>TC-036</t>
  </si>
  <si>
    <t>Related object for REQ-036 is deployed</t>
  </si>
  <si>
    <t>Prepare minimum data for Handle invalid chronology; execute relevant SQL; compare actual result with acceptance criteria.</t>
  </si>
  <si>
    <t>TC-037</t>
  </si>
  <si>
    <t>Related object for REQ-037 is deployed</t>
  </si>
  <si>
    <t>Prepare minimum data for Delay KPI output; execute relevant SQL; compare actual result with acceptance criteria.</t>
  </si>
  <si>
    <t>TC-038</t>
  </si>
  <si>
    <t>Related object for REQ-038 is deployed</t>
  </si>
  <si>
    <t>Prepare minimum data for Rank within country; execute relevant SQL; compare actual result with acceptance criteria.</t>
  </si>
  <si>
    <t>TC-039</t>
  </si>
  <si>
    <t>Related object for REQ-039 is deployed</t>
  </si>
  <si>
    <t>Prepare minimum data for Top 10 per country; execute relevant SQL; compare actual result with acceptance criteria.</t>
  </si>
  <si>
    <t>TC-040</t>
  </si>
  <si>
    <t>Related object for REQ-040 is deployed</t>
  </si>
  <si>
    <t>Prepare minimum data for Define tie behavior; execute relevant SQL; compare actual result with acceptance criteria.</t>
  </si>
  <si>
    <t>TC-041</t>
  </si>
  <si>
    <t>Related object for REQ-041 is deployed</t>
  </si>
  <si>
    <t>Prepare minimum data for Use transaction-time geography; execute relevant SQL; compare actual result with acceptance criteria.</t>
  </si>
  <si>
    <t>TC-042</t>
  </si>
  <si>
    <t>Related object for REQ-042 is deployed</t>
  </si>
  <si>
    <t>Prepare minimum data for Parameterize period; execute relevant SQL; compare actual result with acceptance criteria.</t>
  </si>
  <si>
    <t>TC-043</t>
  </si>
  <si>
    <t>Related object for REQ-043 is deployed</t>
  </si>
  <si>
    <t>Prepare minimum data for Create watermark table; execute relevant SQL; compare actual result with acceptance criteria.</t>
  </si>
  <si>
    <t>TC-044</t>
  </si>
  <si>
    <t>Related object for REQ-044 is deployed</t>
  </si>
  <si>
    <t>Prepare minimum data for Read bounded source window; execute relevant SQL; compare actual result with acceptance criteria.</t>
  </si>
  <si>
    <t>TC-045</t>
  </si>
  <si>
    <t>Related object for REQ-045 is deployed</t>
  </si>
  <si>
    <t>Prepare minimum data for Advance only on success; execute relevant SQL; compare actual result with acceptance criteria.</t>
  </si>
  <si>
    <t>TC-046</t>
  </si>
  <si>
    <t>Related object for REQ-046 is deployed</t>
  </si>
  <si>
    <t>Prepare minimum data for Support restart; execute relevant SQL; compare actual result with acceptance criteria.</t>
  </si>
  <si>
    <t>TC-047</t>
  </si>
  <si>
    <t>Related object for REQ-047 is deployed</t>
  </si>
  <si>
    <t>Prepare minimum data for Persist batch metrics; execute relevant SQL; compare actual result with acceptance criteria.</t>
  </si>
  <si>
    <t>TC-048</t>
  </si>
  <si>
    <t>Related object for REQ-048 is deployed</t>
  </si>
  <si>
    <t>Prepare minimum data for Define source-delete strategy; execute relevant SQL; compare actual result with acceptance criteria.</t>
  </si>
  <si>
    <t>TC-049</t>
  </si>
  <si>
    <t>Related object for REQ-049 is deployed</t>
  </si>
  <si>
    <t>Prepare minimum data for Apply lookback window; execute relevant SQL; compare actual result with acceptance criteria.</t>
  </si>
  <si>
    <t>TC-050</t>
  </si>
  <si>
    <t>Related object for REQ-050 is deployed</t>
  </si>
  <si>
    <t>Prepare minimum data for Prevent overlapping runs; execute relevant SQL; compare actual result with acceptance criteria.</t>
  </si>
  <si>
    <t>TC-051</t>
  </si>
  <si>
    <t>Related object for REQ-051 is deployed</t>
  </si>
  <si>
    <t>Prepare minimum data for Create operational logging; execute relevant SQL; compare actual result with acceptance criteria.</t>
  </si>
  <si>
    <t>TC-052</t>
  </si>
  <si>
    <t>Related object for REQ-052 is deployed</t>
  </si>
  <si>
    <t>Prepare minimum data for Capture baseline; execute relevant SQL; compare actual result with acceptance criteria.</t>
  </si>
  <si>
    <t>TC-053</t>
  </si>
  <si>
    <t>Related object for REQ-053 is deployed</t>
  </si>
  <si>
    <t>Prepare minimum data for Design clustered strategy; execute relevant SQL; compare actual result with acceptance criteria.</t>
  </si>
  <si>
    <t>TC-054</t>
  </si>
  <si>
    <t>Related object for REQ-054 is deployed</t>
  </si>
  <si>
    <t>Prepare minimum data for Design covering indexes; execute relevant SQL; compare actual result with acceptance criteria.</t>
  </si>
  <si>
    <t>TC-055</t>
  </si>
  <si>
    <t>Related object for REQ-055 is deployed</t>
  </si>
  <si>
    <t>Prepare minimum data for Evaluate date partitioning; execute relevant SQL; compare actual result with acceptance criteria.</t>
  </si>
  <si>
    <t>TC-056</t>
  </si>
  <si>
    <t>Related object for REQ-056 is deployed</t>
  </si>
  <si>
    <t>Prepare minimum data for Remove non-sargable predicates; execute relevant SQL; compare actual result with acceptance criteria.</t>
  </si>
  <si>
    <t>TC-057</t>
  </si>
  <si>
    <t>Related object for REQ-057 is deployed</t>
  </si>
  <si>
    <t>Prepare minimum data for Maintain statistics; execute relevant SQL; compare actual result with acceptance criteria.</t>
  </si>
  <si>
    <t>TC-058</t>
  </si>
  <si>
    <t>Related object for REQ-058 is deployed</t>
  </si>
  <si>
    <t>Prepare minimum data for Create summary table; execute relevant SQL; compare actual result with acceptance criteria.</t>
  </si>
  <si>
    <t>TC-059</t>
  </si>
  <si>
    <t>Related object for REQ-059 is deployed</t>
  </si>
  <si>
    <t>Prepare minimum data for Detect skew and parameter issues; execute relevant SQL; compare actual result with acceptance criteria.</t>
  </si>
  <si>
    <t>TC-060</t>
  </si>
  <si>
    <t>Related object for REQ-060 is deployed</t>
  </si>
  <si>
    <t>Prepare minimum data for Compare before and after; execute relevant SQL; compare actual result with acceptance criteria.</t>
  </si>
  <si>
    <t>TC-061</t>
  </si>
  <si>
    <t>Related object for REQ-061 is deployed</t>
  </si>
  <si>
    <t>Prepare minimum data for Build source-to-target control totals; execute relevant SQL; compare actual result with acceptance criteria.</t>
  </si>
  <si>
    <t>TC-062</t>
  </si>
  <si>
    <t>Related object for REQ-062 is deployed</t>
  </si>
  <si>
    <t>Prepare minimum data for Investigate revenue restatement; execute relevant SQL; compare actual result with acceptance criteria.</t>
  </si>
  <si>
    <t>TC-063</t>
  </si>
  <si>
    <t>Related object for REQ-063 is deployed</t>
  </si>
  <si>
    <t>Prepare minimum data for Classify variances; execute relevant SQL; compare actual result with acceptance criteria.</t>
  </si>
  <si>
    <t>TC-064</t>
  </si>
  <si>
    <t>Related object for REQ-064 is deployed</t>
  </si>
  <si>
    <t>Prepare minimum data for Create lineage evidence; execute relevant SQL; compare actual result with acceptance criteria.</t>
  </si>
  <si>
    <t>TC-065</t>
  </si>
  <si>
    <t>Related object for REQ-065 is deployed</t>
  </si>
  <si>
    <t>Prepare minimum data for Set reconciliation thresholds; execute relevant SQL; compare actual result with acceptance criteria.</t>
  </si>
  <si>
    <t>TC-066</t>
  </si>
  <si>
    <t>Related object for REQ-066 is deployed</t>
  </si>
  <si>
    <t>Prepare minimum data for Create support runbook; execute relevant SQL; compare actual result with acceptance criteria.</t>
  </si>
  <si>
    <t>TC-067</t>
  </si>
  <si>
    <t>Related object for REQ-067 is deployed</t>
  </si>
  <si>
    <t>Prepare minimum data for Organize source control; execute relevant SQL; compare actual result with acceptance criteria.</t>
  </si>
  <si>
    <t>TC-068</t>
  </si>
  <si>
    <t>Related object for REQ-068 is deployed</t>
  </si>
  <si>
    <t>Prepare minimum data for Create deployment order; execute relevant SQL; compare actual result with acceptance criteria.</t>
  </si>
  <si>
    <t>TC-069</t>
  </si>
  <si>
    <t>Related object for REQ-069 is deployed</t>
  </si>
  <si>
    <t>Prepare minimum data for Create architecture document; execute relevant SQL; compare actual result with acceptance criteria.</t>
  </si>
  <si>
    <t>TC-070</t>
  </si>
  <si>
    <t>Related object for REQ-070 is deployed</t>
  </si>
  <si>
    <t>Prepare minimum data for Capture test evidence; execute relevant SQL; compare actual result with acceptance criteria.</t>
  </si>
  <si>
    <t>TC-071</t>
  </si>
  <si>
    <t>Related object for REQ-071 is deployed</t>
  </si>
  <si>
    <t>Prepare minimum data for Capture performance evidence; execute relevant SQL; compare actual result with acceptance criteria.</t>
  </si>
  <si>
    <t>TC-072</t>
  </si>
  <si>
    <t>Related object for REQ-072 is deployed</t>
  </si>
  <si>
    <t>Prepare minimum data for Prepare honest resume wording; execute relevant SQL; compare actual result with acceptance criteria.</t>
  </si>
  <si>
    <t>TC-073</t>
  </si>
  <si>
    <t>Related object for REQ-073 is deployed</t>
  </si>
  <si>
    <t>Prepare minimum data for Prepare design defense; execute relevant SQL; compare actual result with acceptance criteria.</t>
  </si>
  <si>
    <t>TC-074</t>
  </si>
  <si>
    <t>Grain</t>
  </si>
  <si>
    <t>Same product repeated on two order lines</t>
  </si>
  <si>
    <t>Order has same ProductID on line 1 and line 2</t>
  </si>
  <si>
    <t>Load both source lines</t>
  </si>
  <si>
    <t>FactOrders contains two rows because grain includes OrderLineNumber.</t>
  </si>
  <si>
    <t>High</t>
  </si>
  <si>
    <t>TC-075</t>
  </si>
  <si>
    <t>Unknown Key</t>
  </si>
  <si>
    <t>Missing customer lookup</t>
  </si>
  <si>
    <t>Order references absent CustomerID</t>
  </si>
  <si>
    <t>Run fact load</t>
  </si>
  <si>
    <t>Fact uses unknown CustomerSK and row is logged for follow-up.</t>
  </si>
  <si>
    <t>TC-076</t>
  </si>
  <si>
    <t>Multiple sequential changes</t>
  </si>
  <si>
    <t>Customer moves city and later changes type</t>
  </si>
  <si>
    <t>Run loads in timestamp order</t>
  </si>
  <si>
    <t>Three non-overlapping versions exist and only latest is current.</t>
  </si>
  <si>
    <t>TC-077</t>
  </si>
  <si>
    <t>Null Handling</t>
  </si>
  <si>
    <t>Tracked attribute changes from null</t>
  </si>
  <si>
    <t>Current City is null; source City has value</t>
  </si>
  <si>
    <t>Run SCD load</t>
  </si>
  <si>
    <t>Prior row is expired and new row is inserted.</t>
  </si>
  <si>
    <t>TC-078</t>
  </si>
  <si>
    <t>Growth</t>
  </si>
  <si>
    <t>Prior revenue is zero</t>
  </si>
  <si>
    <t>Customer has zero prior-month revenue</t>
  </si>
  <si>
    <t>Run growth query</t>
  </si>
  <si>
    <t>No divide-by-zero error and documented output rule is applied.</t>
  </si>
  <si>
    <t>TC-079</t>
  </si>
  <si>
    <t>Calendar</t>
  </si>
  <si>
    <t>No activity in prior month</t>
  </si>
  <si>
    <t>Customer has revenue this month but no prior row</t>
  </si>
  <si>
    <t>Prior value/growth follows the documented missing-month rule.</t>
  </si>
  <si>
    <t>TC-080</t>
  </si>
  <si>
    <t>Tie Break</t>
  </si>
  <si>
    <t>Equal timestamps</t>
  </si>
  <si>
    <t>Two duplicate rows have equal modified and ingestion timestamps</t>
  </si>
  <si>
    <t>Run dedup twice</t>
  </si>
  <si>
    <t>Same deterministic survivor is selected both times.</t>
  </si>
  <si>
    <t>TC-081</t>
  </si>
  <si>
    <t>Boundary</t>
  </si>
  <si>
    <t>Exactly 7 days</t>
  </si>
  <si>
    <t>Shipment and delivery differ by 7 days</t>
  </si>
  <si>
    <t>Run delay classification</t>
  </si>
  <si>
    <t>Late flag is false and bucket is 4-7 Days.</t>
  </si>
  <si>
    <t>TC-082</t>
  </si>
  <si>
    <t>Exactly 8 days</t>
  </si>
  <si>
    <t>Shipment and delivery differ by 8 days</t>
  </si>
  <si>
    <t>Late flag is true and bucket is 8-15 Days.</t>
  </si>
  <si>
    <t>TC-083</t>
  </si>
  <si>
    <t>Exactly 15 and 16 days</t>
  </si>
  <si>
    <t>Create two shipments</t>
  </si>
  <si>
    <t>Run bucket query</t>
  </si>
  <si>
    <t>15 maps to 8-15; 16 maps to 16+.</t>
  </si>
  <si>
    <t>TC-084</t>
  </si>
  <si>
    <t>Ties</t>
  </si>
  <si>
    <t>Revenue tie at rank 10</t>
  </si>
  <si>
    <t>Two customers share boundary revenue</t>
  </si>
  <si>
    <t>Run ranking</t>
  </si>
  <si>
    <t>Output follows selected RANK or DENSE_RANK policy.</t>
  </si>
  <si>
    <t>TC-085</t>
  </si>
  <si>
    <t>Failure</t>
  </si>
  <si>
    <t>Failure before watermark update</t>
  </si>
  <si>
    <t>Inject failure after target staging</t>
  </si>
  <si>
    <t>Rerun load</t>
  </si>
  <si>
    <t>Watermark remains old and rerun reaches correct result without duplication.</t>
  </si>
  <si>
    <t>TC-086</t>
  </si>
  <si>
    <t>Record equals high watermark</t>
  </si>
  <si>
    <t>Source row timestamp equals captured high watermark</t>
  </si>
  <si>
    <t>Run load</t>
  </si>
  <si>
    <t>Row is included based on greater-than/less-than-or-equal window.</t>
  </si>
  <si>
    <t>TC-087</t>
  </si>
  <si>
    <t>Correctness</t>
  </si>
  <si>
    <t>Optimized query output</t>
  </si>
  <si>
    <t>Baseline output saved</t>
  </si>
  <si>
    <t>Run optimized query</t>
  </si>
  <si>
    <t>Counts, totals and sample rows match baseline.</t>
  </si>
  <si>
    <t>TC-088</t>
  </si>
  <si>
    <t>Rounding</t>
  </si>
  <si>
    <t>Currency rounding variance</t>
  </si>
  <si>
    <t>Prepare known rounding differences</t>
  </si>
  <si>
    <t>Run threshold rule</t>
  </si>
  <si>
    <t>Difference within tolerance warns/passes per policy; larger difference fails.</t>
  </si>
  <si>
    <t>Logical Data Dictionary</t>
  </si>
  <si>
    <t>Object</t>
  </si>
  <si>
    <t>Column</t>
  </si>
  <si>
    <t>Role</t>
  </si>
  <si>
    <t>Suggested Type</t>
  </si>
  <si>
    <t>Nullable</t>
  </si>
  <si>
    <t>Key / Rule</t>
  </si>
  <si>
    <t>Definition</t>
  </si>
  <si>
    <t>Example</t>
  </si>
  <si>
    <t>DimCustomer</t>
  </si>
  <si>
    <t>CustomerSK</t>
  </si>
  <si>
    <t>Surrogate key</t>
  </si>
  <si>
    <t>BIGINT</t>
  </si>
  <si>
    <t>No</t>
  </si>
  <si>
    <t>PK</t>
  </si>
  <si>
    <t>Warehouse-generated customer version key</t>
  </si>
  <si>
    <t>101</t>
  </si>
  <si>
    <t>Referenced by facts</t>
  </si>
  <si>
    <t>CustomerID</t>
  </si>
  <si>
    <t>Business key</t>
  </si>
  <si>
    <t>VARCHAR(50)</t>
  </si>
  <si>
    <t>Indexed</t>
  </si>
  <si>
    <t>Source customer identifier</t>
  </si>
  <si>
    <t>C1001</t>
  </si>
  <si>
    <t>Retain source key</t>
  </si>
  <si>
    <t>CustomerName</t>
  </si>
  <si>
    <t>Attribute</t>
  </si>
  <si>
    <t>VARCHAR(200)</t>
  </si>
  <si>
    <t>Customer display name</t>
  </si>
  <si>
    <t>Contoso Logistics</t>
  </si>
  <si>
    <t>Country</t>
  </si>
  <si>
    <t>SCD2 attribute</t>
  </si>
  <si>
    <t>VARCHAR(100)</t>
  </si>
  <si>
    <t>Yes</t>
  </si>
  <si>
    <t>Customer country for this version</t>
  </si>
  <si>
    <t>India</t>
  </si>
  <si>
    <t>Tracked</t>
  </si>
  <si>
    <t>City</t>
  </si>
  <si>
    <t>Customer city for this version</t>
  </si>
  <si>
    <t>Chennai</t>
  </si>
  <si>
    <t>CustomerType</t>
  </si>
  <si>
    <t>Business classification</t>
  </si>
  <si>
    <t>Enterprise</t>
  </si>
  <si>
    <t>EffectiveFrom</t>
  </si>
  <si>
    <t>DATETIME2</t>
  </si>
  <si>
    <t>Version start time</t>
  </si>
  <si>
    <t>2026-09-01 10:00</t>
  </si>
  <si>
    <t>Inclusive</t>
  </si>
  <si>
    <t>EffectiveTo</t>
  </si>
  <si>
    <t>Version end time</t>
  </si>
  <si>
    <t>9999-12-31</t>
  </si>
  <si>
    <t>Convention must be documented</t>
  </si>
  <si>
    <t>IsCurrent</t>
  </si>
  <si>
    <t>BIT</t>
  </si>
  <si>
    <t>Current version flag</t>
  </si>
  <si>
    <t>1</t>
  </si>
  <si>
    <t>One current row per CustomerID</t>
  </si>
  <si>
    <t>DimProduct</t>
  </si>
  <si>
    <t>ProductSK</t>
  </si>
  <si>
    <t>Warehouse product key</t>
  </si>
  <si>
    <t>201</t>
  </si>
  <si>
    <t>ProductID</t>
  </si>
  <si>
    <t>Unique current key</t>
  </si>
  <si>
    <t>Source product identifier</t>
  </si>
  <si>
    <t>P100</t>
  </si>
  <si>
    <t>ProductName</t>
  </si>
  <si>
    <t>Product name</t>
  </si>
  <si>
    <t>Laptop</t>
  </si>
  <si>
    <t>Product category</t>
  </si>
  <si>
    <t>Electronics</t>
  </si>
  <si>
    <t>CostPrice</t>
  </si>
  <si>
    <t>Measure-like attribute</t>
  </si>
  <si>
    <t>DECIMAL(19,4)</t>
  </si>
  <si>
    <t>Reference cost; transaction cost is preferable for historical margin</t>
  </si>
  <si>
    <t>450.00</t>
  </si>
  <si>
    <t>Do not rely on current value for historical fact if price changes</t>
  </si>
  <si>
    <t>SellingPrice</t>
  </si>
  <si>
    <t>Reference selling price</t>
  </si>
  <si>
    <t>500.00</t>
  </si>
  <si>
    <t>Store actual amount in fact</t>
  </si>
  <si>
    <t>DimDate</t>
  </si>
  <si>
    <t>DateSK</t>
  </si>
  <si>
    <t>Smart key</t>
  </si>
  <si>
    <t>INT</t>
  </si>
  <si>
    <t>YYYYMMDD date key</t>
  </si>
  <si>
    <t>20260901</t>
  </si>
  <si>
    <t>Unknown key handled separately</t>
  </si>
  <si>
    <t>FullDate</t>
  </si>
  <si>
    <t>Date</t>
  </si>
  <si>
    <t>DATE</t>
  </si>
  <si>
    <t>Unique</t>
  </si>
  <si>
    <t>Calendar date</t>
  </si>
  <si>
    <t>2026-09-01</t>
  </si>
  <si>
    <t>MonthNumber</t>
  </si>
  <si>
    <t>TINYINT</t>
  </si>
  <si>
    <t>Month number</t>
  </si>
  <si>
    <t>9</t>
  </si>
  <si>
    <t>MonthName</t>
  </si>
  <si>
    <t>VARCHAR(10)</t>
  </si>
  <si>
    <t>Month name</t>
  </si>
  <si>
    <t>September</t>
  </si>
  <si>
    <t>QuarterNumber</t>
  </si>
  <si>
    <t>Calendar quarter</t>
  </si>
  <si>
    <t>3</t>
  </si>
  <si>
    <t>CalendarYear</t>
  </si>
  <si>
    <t>SMALLINT</t>
  </si>
  <si>
    <t>Calendar year</t>
  </si>
  <si>
    <t>2026</t>
  </si>
  <si>
    <t>DimLocation</t>
  </si>
  <si>
    <t>LocationSK</t>
  </si>
  <si>
    <t>Warehouse location key</t>
  </si>
  <si>
    <t>301</t>
  </si>
  <si>
    <t>FactOrders</t>
  </si>
  <si>
    <t>OrderID</t>
  </si>
  <si>
    <t>Degenerate/business key</t>
  </si>
  <si>
    <t>Business key component</t>
  </si>
  <si>
    <t>Source order identifier</t>
  </si>
  <si>
    <t>O50001</t>
  </si>
  <si>
    <t>OrderLineNumber</t>
  </si>
  <si>
    <t>Grain key</t>
  </si>
  <si>
    <t>Line inside order</t>
  </si>
  <si>
    <t>Required for precise grain</t>
  </si>
  <si>
    <t>Foreign key</t>
  </si>
  <si>
    <t>FK</t>
  </si>
  <si>
    <t>Customer version valid for the order</t>
  </si>
  <si>
    <t>Product dimension key</t>
  </si>
  <si>
    <t>OrderDateSK</t>
  </si>
  <si>
    <t>Order-date role key</t>
  </si>
  <si>
    <t>Transaction/customer location key per design</t>
  </si>
  <si>
    <t>Quantity</t>
  </si>
  <si>
    <t>Measure</t>
  </si>
  <si>
    <t>DECIMAL(18,3)</t>
  </si>
  <si>
    <t>Additive</t>
  </si>
  <si>
    <t>Ordered quantity</t>
  </si>
  <si>
    <t>5</t>
  </si>
  <si>
    <t>GrossAmount</t>
  </si>
  <si>
    <t>Amount before adjustments</t>
  </si>
  <si>
    <t>2500.00</t>
  </si>
  <si>
    <t>NetAmount</t>
  </si>
  <si>
    <t>Approved revenue expression result</t>
  </si>
  <si>
    <t>2400.00</t>
  </si>
  <si>
    <t>Definition required</t>
  </si>
  <si>
    <t>BatchID</t>
  </si>
  <si>
    <t>Load batch identifier</t>
  </si>
  <si>
    <t>9001</t>
  </si>
  <si>
    <t>FactShipment</t>
  </si>
  <si>
    <t>ShipmentID</t>
  </si>
  <si>
    <t>Source shipment identifier</t>
  </si>
  <si>
    <t>S90001</t>
  </si>
  <si>
    <t>Relationship key</t>
  </si>
  <si>
    <t>Related order identifier</t>
  </si>
  <si>
    <t>Bridge/order-line approach needed for split allocation</t>
  </si>
  <si>
    <t>ShipmentDateSK</t>
  </si>
  <si>
    <t>Shipment date role</t>
  </si>
  <si>
    <t>20260902</t>
  </si>
  <si>
    <t>DeliveryDateSK</t>
  </si>
  <si>
    <t>Delivery date role</t>
  </si>
  <si>
    <t>20260908</t>
  </si>
  <si>
    <t>Null when undelivered</t>
  </si>
  <si>
    <t>FreightCost</t>
  </si>
  <si>
    <t>Shipment freight cost</t>
  </si>
  <si>
    <t>100.00</t>
  </si>
  <si>
    <t>DeliveryDays</t>
  </si>
  <si>
    <t>Derived</t>
  </si>
  <si>
    <t>Duration under agreed calendar rule</t>
  </si>
  <si>
    <t>6</t>
  </si>
  <si>
    <t>Can be computed or persisted</t>
  </si>
  <si>
    <t>ETLWatermark</t>
  </si>
  <si>
    <t>PipelineName</t>
  </si>
  <si>
    <t>Control key</t>
  </si>
  <si>
    <t>PK component</t>
  </si>
  <si>
    <t>Logical pipeline identifier</t>
  </si>
  <si>
    <t>LoadFactOrders</t>
  </si>
  <si>
    <t>LastSuccessfulWatermark</t>
  </si>
  <si>
    <t>Control value</t>
  </si>
  <si>
    <t>Last committed source boundary</t>
  </si>
  <si>
    <t>2026-09-01 00:00</t>
  </si>
  <si>
    <t>Update only on success</t>
  </si>
  <si>
    <t>ETLBatchAudit</t>
  </si>
  <si>
    <t>Audit key</t>
  </si>
  <si>
    <t>Unique load execution identifier</t>
  </si>
  <si>
    <t>Audit status</t>
  </si>
  <si>
    <t>VARCHAR(20)</t>
  </si>
  <si>
    <t>Started, Completed or Failed</t>
  </si>
  <si>
    <t>Completed</t>
  </si>
  <si>
    <t>Project Completion Dashboard</t>
  </si>
  <si>
    <t>Overall KPIs</t>
  </si>
  <si>
    <t>Total Requirements</t>
  </si>
  <si>
    <t>Total Small Tasks</t>
  </si>
  <si>
    <t>Task Completion</t>
  </si>
  <si>
    <t>Tests Passed</t>
  </si>
  <si>
    <t>Tests Failed</t>
  </si>
  <si>
    <t>Test Pass Rate</t>
  </si>
  <si>
    <t>Completed Weighted Hours</t>
  </si>
  <si>
    <t>Task Count</t>
  </si>
  <si>
    <t>Completed Tasks</t>
  </si>
  <si>
    <t>Test Status</t>
  </si>
  <si>
    <t>Count</t>
  </si>
  <si>
    <t>Passed</t>
  </si>
  <si>
    <t>Failed</t>
  </si>
  <si>
    <t>Blocked</t>
  </si>
  <si>
    <t>Risks, Assumptions and Design Decisions</t>
  </si>
  <si>
    <t>ID</t>
  </si>
  <si>
    <t>Type</t>
  </si>
  <si>
    <t>Item</t>
  </si>
  <si>
    <t>Impact</t>
  </si>
  <si>
    <t>Mitigation / Decision</t>
  </si>
  <si>
    <t>Owner</t>
  </si>
  <si>
    <t>Review Notes</t>
  </si>
  <si>
    <t>R-001</t>
  </si>
  <si>
    <t>Risk</t>
  </si>
  <si>
    <t>Order source lacks OrderLineNumber</t>
  </si>
  <si>
    <t>Cannot guarantee one row per line when product repeats</t>
  </si>
  <si>
    <t>Create deterministic line identifier from source; do not assume OrderID + ProductID is always unique.</t>
  </si>
  <si>
    <t>Mukesh</t>
  </si>
  <si>
    <t>Open</t>
  </si>
  <si>
    <t>R-002</t>
  </si>
  <si>
    <t>Revenue definition is ambiguous</t>
  </si>
  <si>
    <t>Different reports can show different totals</t>
  </si>
  <si>
    <t>Create a signed metric definition including discounts, cancellations, tax, currency and recognition date.</t>
  </si>
  <si>
    <t>R-003</t>
  </si>
  <si>
    <t>Timestamp precision or timezone mismatch</t>
  </si>
  <si>
    <t>Rows may be missed or duplicated</t>
  </si>
  <si>
    <t>Normalize timezone, use bounded windows and test exact-boundary timestamps.</t>
  </si>
  <si>
    <t>R-004</t>
  </si>
  <si>
    <t>Synthetic volume too small</t>
  </si>
  <si>
    <t>Index/partition findings may not represent scale</t>
  </si>
  <si>
    <t>Generate sufficient distribution and compare plans and logical reads; label results as local benchmark.</t>
  </si>
  <si>
    <t>R-005</t>
  </si>
  <si>
    <t>Concurrent updates create two current versions</t>
  </si>
  <si>
    <t>History becomes invalid</t>
  </si>
  <si>
    <t>Use transactional logic and current-row uniqueness protection.</t>
  </si>
  <si>
    <t>A-001</t>
  </si>
  <si>
    <t>Assumption</t>
  </si>
  <si>
    <t>All</t>
  </si>
  <si>
    <t>Practice data is synthetic</t>
  </si>
  <si>
    <t>Cannot claim real client volume or production impact</t>
  </si>
  <si>
    <t>Clearly label project and metrics as self-directed portfolio results.</t>
  </si>
  <si>
    <t>Accepted</t>
  </si>
  <si>
    <t>D-001</t>
  </si>
  <si>
    <t>Decision</t>
  </si>
  <si>
    <t>Delay buckets use 16+ final bucket</t>
  </si>
  <si>
    <t>Avoids overlap between 8-15 and 15+</t>
  </si>
  <si>
    <t>Use CASE boundaries: 0-3, 4-7, 8-15, 16+.</t>
  </si>
  <si>
    <t>D-002</t>
  </si>
  <si>
    <t>Facts will use surrogate dimension keys</t>
  </si>
  <si>
    <t>Supports history and source-system independence</t>
  </si>
  <si>
    <t>Retain source keys as audit/business identifiers.</t>
  </si>
  <si>
    <t>Portfolio and Resume Notes</t>
  </si>
  <si>
    <t>Recommended Project Title</t>
  </si>
  <si>
    <t>Global Logistics SQL Data Warehouse | Self-Directed Portfolio Project</t>
  </si>
  <si>
    <t>Use after implementation</t>
  </si>
  <si>
    <t>• Designed a SQL Server star schema for logistics order and shipment analytics, defining fact grains, surrogate-key dimensions, role-playing dates, audit columns and unknown-member handling.</t>
  </si>
  <si>
    <t>• Implemented SCD Type 2 customer history with null-safe change detection, non-overlapping effective periods, current-version enforcement and idempotent rerun behavior.</t>
  </si>
  <si>
    <t>• Built reusable SQL analytics for monthly revenue, prior-period growth, country-level customer ranking and delivery-delay classification using window functions and dimensional joins.</t>
  </si>
  <si>
    <t>• Developed restartable incremental-load controls using bounded watermarks, batch auditing, reconciliation metrics, reject handling and failure-recovery tests.</t>
  </si>
  <si>
    <t>• Benchmarked and tuned reporting queries using execution plans, logical reads, sargable predicates, indexing and aggregate-table design; report only the improvements actually measured in your environment.</t>
  </si>
  <si>
    <t>Do Not Claim</t>
  </si>
  <si>
    <t>• Do not call it a client project unless it was delivered for a real client.</t>
  </si>
  <si>
    <t>• Do not claim 500 million production rows unless you actually tested that volume.</t>
  </si>
  <si>
    <t>• Do not claim a percentage performance improvement until your before/after evidence supports it.</t>
  </si>
  <si>
    <t>• Do not list a technology that is not present in your implementation repository.</t>
  </si>
  <si>
    <t>Interview Walkthrough</t>
  </si>
  <si>
    <t>1. Business problem and metric definitions</t>
  </si>
  <si>
    <t>2. Fact grain and dimensional model</t>
  </si>
  <si>
    <t>3. Loading order and SCD Type 2 behavior</t>
  </si>
  <si>
    <t>4. Incremental loading, idempotency and recovery</t>
  </si>
  <si>
    <t>5. Data-quality and reconciliation controls</t>
  </si>
  <si>
    <t>6. Query-plan evidence and tuning trade-offs</t>
  </si>
  <si>
    <t>7. Limitations and what you would change at production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</si>
</sst>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7"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sz val="11"/>
      <color theme="1"/>
      <name val="Aptos"/>
    </font>
    <font>
      <b/>
      <sz val="10"/>
      <color rgb="FF17365D"/>
      <name val="Aptos"/>
    </font>
    <font>
      <b/>
      <sz val="10"/>
      <color rgb="FFFFFFFF"/>
      <name val="Aptos"/>
    </font>
    <font>
      <b/>
      <sz val="10"/>
      <color rgb="FF2F75B5"/>
      <name val="Aptos"/>
    </font>
    <font>
      <b/>
      <sz val="12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08C95"/>
      </patternFill>
    </fill>
    <fill>
      <patternFill patternType="solid">
        <fgColor rgb="FF7030A0"/>
      </patternFill>
    </fill>
    <fill>
      <patternFill patternType="solid">
        <fgColor rgb="FF2F75B5"/>
      </patternFill>
    </fill>
    <fill>
      <patternFill patternType="solid">
        <fgColor rgb="FFDDEBF7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4" fillId="6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165" fontId="6" fillId="7" borderId="0" xfId="0" applyNumberFormat="1" applyFont="1" applyFill="1" applyAlignment="1">
      <alignment horizontal="left" vertical="center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</cellXfs>
  <cellStyles count="1">
    <cellStyle name="Normal" xfId="0" builtinId="0"/>
  </cellStyles>
  <dxfs count="1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Planned Hours by Phase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Dashboard!B14</c:f>
              <c:strCache>
                <c:ptCount val="1"/>
                <c:pt idx="0">
                  <c:v>Planned 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Dashboard!$A$15:$A$24</c:f>
              <c:strCache>
                <c:ptCount val="10"/>
                <c:pt idx="0">
                  <c:v>1 - Warehouse Modeling</c:v>
                </c:pt>
                <c:pt idx="1">
                  <c:v>2 - SCD Type 2</c:v>
                </c:pt>
                <c:pt idx="2">
                  <c:v>3 - Revenue Analytics</c:v>
                </c:pt>
                <c:pt idx="3">
                  <c:v>4 - Deduplication</c:v>
                </c:pt>
                <c:pt idx="4">
                  <c:v>5 - Delivery Delay</c:v>
                </c:pt>
                <c:pt idx="5">
                  <c:v>6 - Top Customers</c:v>
                </c:pt>
                <c:pt idx="6">
                  <c:v>7 - Incremental Load</c:v>
                </c:pt>
                <c:pt idx="7">
                  <c:v>8 - Performance Tuning</c:v>
                </c:pt>
                <c:pt idx="8">
                  <c:v>9 - Reconciliation &amp; RCA</c:v>
                </c:pt>
                <c:pt idx="9">
                  <c:v>10 - Packaging &amp; Portfolio</c:v>
                </c:pt>
              </c:strCache>
            </c:strRef>
          </c:cat>
          <c:val>
            <c:numRef>
              <c:f>Dashboard!$B$15:$B$24</c:f>
              <c:numCache>
                <c:formatCode>General</c:formatCode>
                <c:ptCount val="10"/>
                <c:pt idx="0">
                  <c:v>44</c:v>
                </c:pt>
                <c:pt idx="1">
                  <c:v>37.5</c:v>
                </c:pt>
                <c:pt idx="2">
                  <c:v>32</c:v>
                </c:pt>
                <c:pt idx="3">
                  <c:v>28</c:v>
                </c:pt>
                <c:pt idx="4">
                  <c:v>29</c:v>
                </c:pt>
                <c:pt idx="5">
                  <c:v>22</c:v>
                </c:pt>
                <c:pt idx="6">
                  <c:v>44</c:v>
                </c:pt>
                <c:pt idx="7">
                  <c:v>43.5</c:v>
                </c:pt>
                <c:pt idx="8">
                  <c:v>28.5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8-4DF2-92D2-F414C9AE1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Phase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t>Completion % by Phase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Dashboard!D14</c:f>
              <c:strCache>
                <c:ptCount val="1"/>
                <c:pt idx="0">
                  <c:v>Completion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Dashboard!$A$15:$A$24</c:f>
              <c:strCache>
                <c:ptCount val="10"/>
                <c:pt idx="0">
                  <c:v>1 - Warehouse Modeling</c:v>
                </c:pt>
                <c:pt idx="1">
                  <c:v>2 - SCD Type 2</c:v>
                </c:pt>
                <c:pt idx="2">
                  <c:v>3 - Revenue Analytics</c:v>
                </c:pt>
                <c:pt idx="3">
                  <c:v>4 - Deduplication</c:v>
                </c:pt>
                <c:pt idx="4">
                  <c:v>5 - Delivery Delay</c:v>
                </c:pt>
                <c:pt idx="5">
                  <c:v>6 - Top Customers</c:v>
                </c:pt>
                <c:pt idx="6">
                  <c:v>7 - Incremental Load</c:v>
                </c:pt>
                <c:pt idx="7">
                  <c:v>8 - Performance Tuning</c:v>
                </c:pt>
                <c:pt idx="8">
                  <c:v>9 - Reconciliation &amp; RCA</c:v>
                </c:pt>
                <c:pt idx="9">
                  <c:v>10 - Packaging &amp; Portfolio</c:v>
                </c:pt>
              </c:strCache>
            </c:strRef>
          </c:cat>
          <c:val>
            <c:numRef>
              <c:f>Dashboard!$D$15:$D$24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4-4BD5-8E5F-B53595128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Completion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Test Execution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Dashboard!B28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Dashboard!$A$29:$A$32</c:f>
              <c:strCache>
                <c:ptCount val="4"/>
                <c:pt idx="0">
                  <c:v>Not Run</c:v>
                </c:pt>
                <c:pt idx="1">
                  <c:v>Passed</c:v>
                </c:pt>
                <c:pt idx="2">
                  <c:v>Failed</c:v>
                </c:pt>
                <c:pt idx="3">
                  <c:v>Blocked</c:v>
                </c:pt>
              </c:strCache>
            </c:strRef>
          </c:cat>
          <c:val>
            <c:numRef>
              <c:f>Dashboard!$B$29:$B$32</c:f>
              <c:numCache>
                <c:formatCode>General</c:formatCode>
                <c:ptCount val="4"/>
                <c:pt idx="0">
                  <c:v>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A-4D3E-B2C6-5A5CFE09AF2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34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Table" displayName="RequirementsTable" ref="A3:H76">
  <autoFilter ref="A3:H76" xr:uid="{00000000-0009-0000-0100-000001000000}"/>
  <tableColumns count="8">
    <tableColumn id="1" xr3:uid="{00000000-0010-0000-0000-000001000000}" name="Requirement ID"/>
    <tableColumn id="2" xr3:uid="{00000000-0010-0000-0000-000002000000}" name="Phase"/>
    <tableColumn id="3" xr3:uid="{00000000-0010-0000-0000-000003000000}" name="Category"/>
    <tableColumn id="4" xr3:uid="{00000000-0010-0000-0000-000004000000}" name="Requirement"/>
    <tableColumn id="5" xr3:uid="{00000000-0010-0000-0000-000005000000}" name="Detailed Description"/>
    <tableColumn id="6" xr3:uid="{00000000-0010-0000-0000-000006000000}" name="Priority"/>
    <tableColumn id="7" xr3:uid="{00000000-0010-0000-0000-000007000000}" name="Acceptance Criteria"/>
    <tableColumn id="8" xr3:uid="{00000000-0010-0000-0000-000008000000}" name="Deliver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skPlanTable" displayName="TaskPlanTable" ref="A3:N368" headerRowDxfId="16" dataDxfId="15" totalsRowDxfId="14">
  <autoFilter ref="A3:N368" xr:uid="{00000000-0009-0000-0100-000002000000}"/>
  <tableColumns count="14">
    <tableColumn id="1" xr3:uid="{00000000-0010-0000-0100-000001000000}" name="Task ID" dataDxfId="13"/>
    <tableColumn id="2" xr3:uid="{00000000-0010-0000-0100-000002000000}" name="Req ID" dataDxfId="12"/>
    <tableColumn id="3" xr3:uid="{00000000-0010-0000-0100-000003000000}" name="Phase" dataDxfId="11"/>
    <tableColumn id="4" xr3:uid="{00000000-0010-0000-0100-000004000000}" name="Category" dataDxfId="10"/>
    <tableColumn id="5" xr3:uid="{00000000-0010-0000-0100-000005000000}" name="Small Task" dataDxfId="9"/>
    <tableColumn id="6" xr3:uid="{00000000-0010-0000-0100-000006000000}" name="Implementation Notes" dataDxfId="8"/>
    <tableColumn id="7" xr3:uid="{00000000-0010-0000-0100-000007000000}" name="Priority" dataDxfId="7"/>
    <tableColumn id="8" xr3:uid="{00000000-0010-0000-0100-000008000000}" name="Planned Hours" dataDxfId="6"/>
    <tableColumn id="9" xr3:uid="{00000000-0010-0000-0100-000009000000}" name="Dependency" dataDxfId="5"/>
    <tableColumn id="10" xr3:uid="{00000000-0010-0000-0100-00000A000000}" name="Deliverable / Evidence" dataDxfId="4"/>
    <tableColumn id="11" xr3:uid="{00000000-0010-0000-0100-00000B000000}" name="Status" dataDxfId="3"/>
    <tableColumn id="12" xr3:uid="{00000000-0010-0000-0100-00000C000000}" name="Completion %" dataDxfId="2"/>
    <tableColumn id="13" xr3:uid="{00000000-0010-0000-0100-00000D000000}" name="Actual Hours" dataDxfId="1"/>
    <tableColumn id="14" xr3:uid="{00000000-0010-0000-0100-00000E000000}" name="Comment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ilyPlanTable" displayName="DailyPlanTable" ref="A3:K423">
  <autoFilter ref="A3:K423" xr:uid="{00000000-0009-0000-0100-000003000000}"/>
  <tableColumns count="11">
    <tableColumn id="1" xr3:uid="{00000000-0010-0000-0200-000001000000}" name="Day #"/>
    <tableColumn id="2" xr3:uid="{00000000-0010-0000-0200-000002000000}" name="Planned Date"/>
    <tableColumn id="3" xr3:uid="{00000000-0010-0000-0200-000003000000}" name="Daily Capacity"/>
    <tableColumn id="4" xr3:uid="{00000000-0010-0000-0200-000004000000}" name="Task ID"/>
    <tableColumn id="5" xr3:uid="{00000000-0010-0000-0200-000005000000}" name="Phase"/>
    <tableColumn id="6" xr3:uid="{00000000-0010-0000-0200-000006000000}" name="Small Task"/>
    <tableColumn id="7" xr3:uid="{00000000-0010-0000-0200-000007000000}" name="Allocated Hours"/>
    <tableColumn id="8" xr3:uid="{00000000-0010-0000-0200-000008000000}" name="Task Status">
      <calculatedColumnFormula>IFERROR(_xlfn.SINGLE(_xlfn.XLOOKUP(D4, 'Task Plan'!$A:$A, 'Task Plan'!$K:$K)), "")</calculatedColumnFormula>
    </tableColumn>
    <tableColumn id="9" xr3:uid="{00000000-0010-0000-0200-000009000000}" name="Task Completion %">
      <calculatedColumnFormula>IFERROR(_xlfn.SINGLE(_xlfn.XLOOKUP(D4, 'Task Plan'!$A:$A, 'Task Plan'!$L:$L)), 0)</calculatedColumnFormula>
    </tableColumn>
    <tableColumn id="10" xr3:uid="{00000000-0010-0000-0200-00000A000000}" name="Daily Planned Total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CasesTable" displayName="TestCasesTable" ref="A3:L91">
  <autoFilter ref="A3:L91" xr:uid="{00000000-0009-0000-0100-000004000000}"/>
  <tableColumns count="12">
    <tableColumn id="1" xr3:uid="{00000000-0010-0000-0300-000001000000}" name="Test Case ID"/>
    <tableColumn id="2" xr3:uid="{00000000-0010-0000-0300-000002000000}" name="Phase"/>
    <tableColumn id="3" xr3:uid="{00000000-0010-0000-0300-000003000000}" name="Test Area"/>
    <tableColumn id="4" xr3:uid="{00000000-0010-0000-0300-000004000000}" name="Scenario"/>
    <tableColumn id="5" xr3:uid="{00000000-0010-0000-0300-000005000000}" name="Preconditions / Test Data"/>
    <tableColumn id="6" xr3:uid="{00000000-0010-0000-0300-000006000000}" name="Execution Steps"/>
    <tableColumn id="7" xr3:uid="{00000000-0010-0000-0300-000007000000}" name="Expected Result"/>
    <tableColumn id="8" xr3:uid="{00000000-0010-0000-0300-000008000000}" name="Severity"/>
    <tableColumn id="9" xr3:uid="{00000000-0010-0000-0300-000009000000}" name="Status"/>
    <tableColumn id="10" xr3:uid="{00000000-0010-0000-0300-00000A000000}" name="Actual Result"/>
    <tableColumn id="11" xr3:uid="{00000000-0010-0000-0300-00000B000000}" name="Evidence Reference"/>
    <tableColumn id="12" xr3:uid="{00000000-0010-0000-0300-00000C000000}" name="Defect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ictionaryTable" displayName="DataDictionaryTable" ref="A3:I47">
  <autoFilter ref="A3:I47" xr:uid="{00000000-0009-0000-0100-000005000000}"/>
  <tableColumns count="9">
    <tableColumn id="1" xr3:uid="{00000000-0010-0000-0400-000001000000}" name="Object"/>
    <tableColumn id="2" xr3:uid="{00000000-0010-0000-0400-000002000000}" name="Column"/>
    <tableColumn id="3" xr3:uid="{00000000-0010-0000-0400-000003000000}" name="Role"/>
    <tableColumn id="4" xr3:uid="{00000000-0010-0000-0400-000004000000}" name="Suggested Type"/>
    <tableColumn id="5" xr3:uid="{00000000-0010-0000-0400-000005000000}" name="Nullable"/>
    <tableColumn id="6" xr3:uid="{00000000-0010-0000-0400-000006000000}" name="Key / Rule"/>
    <tableColumn id="7" xr3:uid="{00000000-0010-0000-0400-000007000000}" name="Definition"/>
    <tableColumn id="8" xr3:uid="{00000000-0010-0000-0400-000008000000}" name="Example"/>
    <tableColumn id="9" xr3:uid="{00000000-0010-0000-0400-000009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isksTable" displayName="RisksTable" ref="A3:I11">
  <autoFilter ref="A3:I11" xr:uid="{00000000-0009-0000-0100-000006000000}"/>
  <tableColumns count="9">
    <tableColumn id="1" xr3:uid="{00000000-0010-0000-0500-000001000000}" name="ID"/>
    <tableColumn id="2" xr3:uid="{00000000-0010-0000-0500-000002000000}" name="Type"/>
    <tableColumn id="3" xr3:uid="{00000000-0010-0000-0500-000003000000}" name="Phase"/>
    <tableColumn id="4" xr3:uid="{00000000-0010-0000-0500-000004000000}" name="Item"/>
    <tableColumn id="5" xr3:uid="{00000000-0010-0000-0500-000005000000}" name="Impact"/>
    <tableColumn id="6" xr3:uid="{00000000-0010-0000-0500-000006000000}" name="Mitigation / Decision"/>
    <tableColumn id="7" xr3:uid="{00000000-0010-0000-0500-000007000000}" name="Owner"/>
    <tableColumn id="8" xr3:uid="{00000000-0010-0000-0500-000008000000}" name="Status"/>
    <tableColumn id="9" xr3:uid="{00000000-0010-0000-0500-000009000000}" name="Review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showGridLines="0" workbookViewId="0">
      <pane ySplit="2" topLeftCell="A3" activePane="bottomLeft" state="frozen"/>
      <selection pane="bottomLeft" activeCell="B7" sqref="B7:G7"/>
    </sheetView>
  </sheetViews>
  <sheetFormatPr defaultRowHeight="15"/>
  <cols>
    <col min="1" max="1" width="25" customWidth="1"/>
    <col min="2" max="7" width="18" customWidth="1"/>
  </cols>
  <sheetData>
    <row r="1" spans="1:7" ht="27.95" customHeight="1">
      <c r="A1" s="20" t="s">
        <v>0</v>
      </c>
      <c r="B1" s="16"/>
      <c r="C1" s="16"/>
      <c r="D1" s="16"/>
      <c r="E1" s="16"/>
      <c r="F1" s="16"/>
      <c r="G1" s="16"/>
    </row>
    <row r="2" spans="1:7">
      <c r="A2" s="1"/>
      <c r="B2" s="1"/>
      <c r="C2" s="1"/>
      <c r="D2" s="1"/>
      <c r="E2" s="1"/>
      <c r="F2" s="1"/>
      <c r="G2" s="1"/>
    </row>
    <row r="3" spans="1:7" ht="38.1" customHeight="1">
      <c r="A3" s="2" t="s">
        <v>1</v>
      </c>
      <c r="B3" s="19" t="s">
        <v>2</v>
      </c>
      <c r="C3" s="16"/>
      <c r="D3" s="16"/>
      <c r="E3" s="16"/>
      <c r="F3" s="16"/>
      <c r="G3" s="16"/>
    </row>
    <row r="4" spans="1:7" ht="38.1" customHeight="1">
      <c r="A4" s="2" t="s">
        <v>3</v>
      </c>
      <c r="B4" s="19" t="s">
        <v>4</v>
      </c>
      <c r="C4" s="16"/>
      <c r="D4" s="16"/>
      <c r="E4" s="16"/>
      <c r="F4" s="16"/>
      <c r="G4" s="16"/>
    </row>
    <row r="5" spans="1:7" ht="38.1" customHeight="1">
      <c r="A5" s="2" t="s">
        <v>5</v>
      </c>
      <c r="B5" s="19" t="s">
        <v>6</v>
      </c>
      <c r="C5" s="16"/>
      <c r="D5" s="16"/>
      <c r="E5" s="16"/>
      <c r="F5" s="16"/>
      <c r="G5" s="16"/>
    </row>
    <row r="6" spans="1:7" ht="38.1" customHeight="1">
      <c r="A6" s="2" t="s">
        <v>7</v>
      </c>
      <c r="B6" s="19" t="s">
        <v>8</v>
      </c>
      <c r="C6" s="16"/>
      <c r="D6" s="16"/>
      <c r="E6" s="16"/>
      <c r="F6" s="16"/>
      <c r="G6" s="16"/>
    </row>
    <row r="7" spans="1:7" ht="38.1" customHeight="1">
      <c r="A7" s="2" t="s">
        <v>9</v>
      </c>
      <c r="B7" s="19" t="s">
        <v>10</v>
      </c>
      <c r="C7" s="16"/>
      <c r="D7" s="16"/>
      <c r="E7" s="16"/>
      <c r="F7" s="16"/>
      <c r="G7" s="16"/>
    </row>
    <row r="8" spans="1:7" ht="38.1" customHeight="1">
      <c r="A8" s="2" t="s">
        <v>11</v>
      </c>
      <c r="B8" s="19" t="s">
        <v>12</v>
      </c>
      <c r="C8" s="16"/>
      <c r="D8" s="16"/>
      <c r="E8" s="16"/>
      <c r="F8" s="16"/>
      <c r="G8" s="16"/>
    </row>
    <row r="9" spans="1:7" ht="38.1" customHeight="1">
      <c r="A9" s="2" t="s">
        <v>13</v>
      </c>
      <c r="B9" s="19" t="s">
        <v>14</v>
      </c>
      <c r="C9" s="16"/>
      <c r="D9" s="16"/>
      <c r="E9" s="16"/>
      <c r="F9" s="16"/>
      <c r="G9" s="16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7" t="s">
        <v>15</v>
      </c>
      <c r="B12" s="16"/>
      <c r="C12" s="16"/>
      <c r="D12" s="16"/>
      <c r="E12" s="16"/>
      <c r="F12" s="16"/>
      <c r="G12" s="16"/>
    </row>
    <row r="13" spans="1:7">
      <c r="A13" s="16" t="s">
        <v>16</v>
      </c>
      <c r="B13" s="16"/>
      <c r="C13" s="16"/>
      <c r="D13" s="16"/>
      <c r="E13" s="16"/>
      <c r="F13" s="16"/>
      <c r="G13" s="16"/>
    </row>
    <row r="14" spans="1:7">
      <c r="A14" s="16" t="s">
        <v>17</v>
      </c>
      <c r="B14" s="16"/>
      <c r="C14" s="16"/>
      <c r="D14" s="16"/>
      <c r="E14" s="16"/>
      <c r="F14" s="16"/>
      <c r="G14" s="16"/>
    </row>
    <row r="15" spans="1:7">
      <c r="A15" s="16" t="s">
        <v>18</v>
      </c>
      <c r="B15" s="16"/>
      <c r="C15" s="16"/>
      <c r="D15" s="16"/>
      <c r="E15" s="16"/>
      <c r="F15" s="16"/>
      <c r="G15" s="16"/>
    </row>
    <row r="16" spans="1:7">
      <c r="A16" s="16" t="s">
        <v>19</v>
      </c>
      <c r="B16" s="16"/>
      <c r="C16" s="16"/>
      <c r="D16" s="16"/>
      <c r="E16" s="16"/>
      <c r="F16" s="16"/>
      <c r="G16" s="16"/>
    </row>
    <row r="17" spans="1:7">
      <c r="A17" s="16" t="s">
        <v>20</v>
      </c>
      <c r="B17" s="16"/>
      <c r="C17" s="16"/>
      <c r="D17" s="16"/>
      <c r="E17" s="16"/>
      <c r="F17" s="16"/>
      <c r="G17" s="16"/>
    </row>
    <row r="18" spans="1:7">
      <c r="A18" s="16" t="s">
        <v>21</v>
      </c>
      <c r="B18" s="16"/>
      <c r="C18" s="16"/>
      <c r="D18" s="16"/>
      <c r="E18" s="16"/>
      <c r="F18" s="16"/>
      <c r="G18" s="16"/>
    </row>
    <row r="19" spans="1:7">
      <c r="A19" s="16" t="s">
        <v>22</v>
      </c>
      <c r="B19" s="16"/>
      <c r="C19" s="16"/>
      <c r="D19" s="16"/>
      <c r="E19" s="16"/>
      <c r="F19" s="16"/>
      <c r="G19" s="16"/>
    </row>
    <row r="20" spans="1:7">
      <c r="A20" s="16" t="s">
        <v>23</v>
      </c>
      <c r="B20" s="16"/>
      <c r="C20" s="16"/>
      <c r="D20" s="16"/>
      <c r="E20" s="16"/>
      <c r="F20" s="16"/>
      <c r="G20" s="16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8" t="s">
        <v>24</v>
      </c>
      <c r="B23" s="16"/>
      <c r="C23" s="16"/>
      <c r="D23" s="16"/>
      <c r="E23" s="16"/>
      <c r="F23" s="16"/>
      <c r="G23" s="16"/>
    </row>
    <row r="24" spans="1:7">
      <c r="A24" s="4" t="s">
        <v>25</v>
      </c>
      <c r="B24" s="16" t="s">
        <v>26</v>
      </c>
      <c r="C24" s="16"/>
      <c r="D24" s="16"/>
      <c r="E24" s="16"/>
      <c r="F24" s="16"/>
      <c r="G24" s="16"/>
    </row>
    <row r="25" spans="1:7">
      <c r="A25" s="4" t="s">
        <v>27</v>
      </c>
      <c r="B25" s="16" t="s">
        <v>28</v>
      </c>
      <c r="C25" s="16"/>
      <c r="D25" s="16"/>
      <c r="E25" s="16"/>
      <c r="F25" s="16"/>
      <c r="G25" s="16"/>
    </row>
    <row r="26" spans="1:7">
      <c r="A26" s="4" t="s">
        <v>29</v>
      </c>
      <c r="B26" s="16" t="s">
        <v>30</v>
      </c>
      <c r="C26" s="16"/>
      <c r="D26" s="16"/>
      <c r="E26" s="16"/>
      <c r="F26" s="16"/>
      <c r="G26" s="16"/>
    </row>
    <row r="27" spans="1:7">
      <c r="A27" s="4" t="s">
        <v>31</v>
      </c>
      <c r="B27" s="16" t="s">
        <v>32</v>
      </c>
      <c r="C27" s="16"/>
      <c r="D27" s="16"/>
      <c r="E27" s="16"/>
      <c r="F27" s="16"/>
      <c r="G27" s="16"/>
    </row>
    <row r="28" spans="1:7">
      <c r="A28" s="4" t="s">
        <v>33</v>
      </c>
      <c r="B28" s="16" t="s">
        <v>34</v>
      </c>
      <c r="C28" s="16"/>
      <c r="D28" s="16"/>
      <c r="E28" s="16"/>
      <c r="F28" s="16"/>
      <c r="G28" s="16"/>
    </row>
    <row r="29" spans="1:7">
      <c r="A29" s="4" t="s">
        <v>35</v>
      </c>
      <c r="B29" s="16" t="s">
        <v>36</v>
      </c>
      <c r="C29" s="16"/>
      <c r="D29" s="16"/>
      <c r="E29" s="16"/>
      <c r="F29" s="16"/>
      <c r="G29" s="16"/>
    </row>
    <row r="30" spans="1:7">
      <c r="A30" s="4" t="s">
        <v>37</v>
      </c>
      <c r="B30" s="16" t="s">
        <v>38</v>
      </c>
      <c r="C30" s="16"/>
      <c r="D30" s="16"/>
      <c r="E30" s="16"/>
      <c r="F30" s="16"/>
      <c r="G30" s="16"/>
    </row>
    <row r="31" spans="1:7">
      <c r="A31" s="4" t="s">
        <v>39</v>
      </c>
      <c r="B31" s="16" t="s">
        <v>40</v>
      </c>
      <c r="C31" s="16"/>
      <c r="D31" s="16"/>
      <c r="E31" s="16"/>
      <c r="F31" s="16"/>
      <c r="G31" s="16"/>
    </row>
  </sheetData>
  <mergeCells count="26">
    <mergeCell ref="B6:G6"/>
    <mergeCell ref="B24:G24"/>
    <mergeCell ref="A1:G1"/>
    <mergeCell ref="B5:G5"/>
    <mergeCell ref="B4:G4"/>
    <mergeCell ref="A16:G16"/>
    <mergeCell ref="B7:G7"/>
    <mergeCell ref="B3:G3"/>
    <mergeCell ref="A18:G18"/>
    <mergeCell ref="A13:G13"/>
    <mergeCell ref="B9:G9"/>
    <mergeCell ref="A15:G15"/>
    <mergeCell ref="A14:G14"/>
    <mergeCell ref="A17:G17"/>
    <mergeCell ref="B8:G8"/>
    <mergeCell ref="A20:G20"/>
    <mergeCell ref="B31:G31"/>
    <mergeCell ref="A12:G12"/>
    <mergeCell ref="B27:G27"/>
    <mergeCell ref="A23:G23"/>
    <mergeCell ref="B30:G30"/>
    <mergeCell ref="B26:G26"/>
    <mergeCell ref="B25:G25"/>
    <mergeCell ref="B29:G29"/>
    <mergeCell ref="B28:G28"/>
    <mergeCell ref="A19:G19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workbookViewId="0">
      <pane ySplit="3" topLeftCell="B6" activePane="bottomLeft" state="frozen"/>
      <selection pane="bottomLeft" activeCell="E7" sqref="E7"/>
    </sheetView>
  </sheetViews>
  <sheetFormatPr defaultRowHeight="15"/>
  <cols>
    <col min="1" max="1" width="15" customWidth="1"/>
    <col min="2" max="2" width="25" customWidth="1"/>
    <col min="3" max="3" width="16" customWidth="1"/>
    <col min="4" max="4" width="28" customWidth="1"/>
    <col min="5" max="5" width="55" customWidth="1"/>
    <col min="6" max="6" width="12" customWidth="1"/>
    <col min="7" max="7" width="48" customWidth="1"/>
    <col min="8" max="8" width="25" customWidth="1"/>
  </cols>
  <sheetData>
    <row r="1" spans="1:8" ht="27.95" customHeight="1">
      <c r="A1" s="20" t="s">
        <v>41</v>
      </c>
      <c r="B1" s="16"/>
      <c r="C1" s="16"/>
      <c r="D1" s="16"/>
      <c r="E1" s="16"/>
      <c r="F1" s="16"/>
      <c r="G1" s="16"/>
      <c r="H1" s="16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 customHeight="1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</row>
    <row r="4" spans="1:8" ht="48" customHeight="1">
      <c r="A4" s="1" t="s">
        <v>50</v>
      </c>
      <c r="B4" s="1" t="s">
        <v>51</v>
      </c>
      <c r="C4" s="1" t="s">
        <v>52</v>
      </c>
      <c r="D4" s="1" t="s">
        <v>53</v>
      </c>
      <c r="E4" s="3" t="s">
        <v>54</v>
      </c>
      <c r="F4" s="1" t="s">
        <v>55</v>
      </c>
      <c r="G4" s="3" t="s">
        <v>56</v>
      </c>
      <c r="H4" s="1" t="s">
        <v>57</v>
      </c>
    </row>
    <row r="5" spans="1:8" ht="48" customHeight="1">
      <c r="A5" s="1" t="s">
        <v>58</v>
      </c>
      <c r="B5" s="1" t="s">
        <v>51</v>
      </c>
      <c r="C5" s="1" t="s">
        <v>59</v>
      </c>
      <c r="D5" s="1" t="s">
        <v>60</v>
      </c>
      <c r="E5" s="3" t="s">
        <v>61</v>
      </c>
      <c r="F5" s="1" t="s">
        <v>55</v>
      </c>
      <c r="G5" s="3" t="s">
        <v>62</v>
      </c>
      <c r="H5" s="1" t="s">
        <v>63</v>
      </c>
    </row>
    <row r="6" spans="1:8" ht="48" customHeight="1">
      <c r="A6" s="1" t="s">
        <v>64</v>
      </c>
      <c r="B6" s="1" t="s">
        <v>51</v>
      </c>
      <c r="C6" s="1" t="s">
        <v>59</v>
      </c>
      <c r="D6" s="1" t="s">
        <v>65</v>
      </c>
      <c r="E6" s="3" t="s">
        <v>66</v>
      </c>
      <c r="F6" s="1" t="s">
        <v>55</v>
      </c>
      <c r="G6" s="3" t="s">
        <v>67</v>
      </c>
      <c r="H6" s="1" t="s">
        <v>68</v>
      </c>
    </row>
    <row r="7" spans="1:8" ht="48" customHeight="1">
      <c r="A7" s="1" t="s">
        <v>69</v>
      </c>
      <c r="B7" s="1" t="s">
        <v>51</v>
      </c>
      <c r="C7" s="1" t="s">
        <v>59</v>
      </c>
      <c r="D7" s="1" t="s">
        <v>70</v>
      </c>
      <c r="E7" s="3" t="s">
        <v>71</v>
      </c>
      <c r="F7" s="1" t="s">
        <v>55</v>
      </c>
      <c r="G7" s="3" t="s">
        <v>72</v>
      </c>
      <c r="H7" s="1" t="s">
        <v>73</v>
      </c>
    </row>
    <row r="8" spans="1:8" ht="48" customHeight="1">
      <c r="A8" s="1" t="s">
        <v>74</v>
      </c>
      <c r="B8" s="1" t="s">
        <v>51</v>
      </c>
      <c r="C8" s="1" t="s">
        <v>75</v>
      </c>
      <c r="D8" s="1" t="s">
        <v>76</v>
      </c>
      <c r="E8" s="3" t="s">
        <v>77</v>
      </c>
      <c r="F8" s="1" t="s">
        <v>55</v>
      </c>
      <c r="G8" s="3" t="s">
        <v>78</v>
      </c>
      <c r="H8" s="1" t="s">
        <v>79</v>
      </c>
    </row>
    <row r="9" spans="1:8" ht="48" customHeight="1">
      <c r="A9" s="1" t="s">
        <v>80</v>
      </c>
      <c r="B9" s="1" t="s">
        <v>51</v>
      </c>
      <c r="C9" s="1" t="s">
        <v>75</v>
      </c>
      <c r="D9" s="1" t="s">
        <v>81</v>
      </c>
      <c r="E9" s="3" t="s">
        <v>82</v>
      </c>
      <c r="F9" s="1" t="s">
        <v>55</v>
      </c>
      <c r="G9" s="3" t="s">
        <v>83</v>
      </c>
      <c r="H9" s="1" t="s">
        <v>84</v>
      </c>
    </row>
    <row r="10" spans="1:8" ht="48" customHeight="1">
      <c r="A10" s="1" t="s">
        <v>85</v>
      </c>
      <c r="B10" s="1" t="s">
        <v>51</v>
      </c>
      <c r="C10" s="1" t="s">
        <v>86</v>
      </c>
      <c r="D10" s="1" t="s">
        <v>87</v>
      </c>
      <c r="E10" s="3" t="s">
        <v>88</v>
      </c>
      <c r="F10" s="1" t="s">
        <v>89</v>
      </c>
      <c r="G10" s="3" t="s">
        <v>90</v>
      </c>
      <c r="H10" s="1" t="s">
        <v>91</v>
      </c>
    </row>
    <row r="11" spans="1:8" ht="48" customHeight="1">
      <c r="A11" s="1" t="s">
        <v>92</v>
      </c>
      <c r="B11" s="1" t="s">
        <v>51</v>
      </c>
      <c r="C11" s="1" t="s">
        <v>93</v>
      </c>
      <c r="D11" s="1" t="s">
        <v>94</v>
      </c>
      <c r="E11" s="3" t="s">
        <v>95</v>
      </c>
      <c r="F11" s="1" t="s">
        <v>55</v>
      </c>
      <c r="G11" s="3" t="s">
        <v>96</v>
      </c>
      <c r="H11" s="1" t="s">
        <v>97</v>
      </c>
    </row>
    <row r="12" spans="1:8" ht="48" customHeight="1">
      <c r="A12" s="1" t="s">
        <v>98</v>
      </c>
      <c r="B12" s="1" t="s">
        <v>51</v>
      </c>
      <c r="C12" s="1" t="s">
        <v>59</v>
      </c>
      <c r="D12" s="1" t="s">
        <v>99</v>
      </c>
      <c r="E12" s="3" t="s">
        <v>100</v>
      </c>
      <c r="F12" s="1" t="s">
        <v>55</v>
      </c>
      <c r="G12" s="3" t="s">
        <v>101</v>
      </c>
      <c r="H12" s="1" t="s">
        <v>102</v>
      </c>
    </row>
    <row r="13" spans="1:8" ht="48" customHeight="1">
      <c r="A13" s="1" t="s">
        <v>103</v>
      </c>
      <c r="B13" s="1" t="s">
        <v>51</v>
      </c>
      <c r="C13" s="1" t="s">
        <v>104</v>
      </c>
      <c r="D13" s="1" t="s">
        <v>105</v>
      </c>
      <c r="E13" s="3" t="s">
        <v>106</v>
      </c>
      <c r="F13" s="1" t="s">
        <v>89</v>
      </c>
      <c r="G13" s="3" t="s">
        <v>107</v>
      </c>
      <c r="H13" s="1" t="s">
        <v>108</v>
      </c>
    </row>
    <row r="14" spans="1:8" ht="48" customHeight="1">
      <c r="A14" s="1" t="s">
        <v>109</v>
      </c>
      <c r="B14" s="1" t="s">
        <v>110</v>
      </c>
      <c r="C14" s="1" t="s">
        <v>111</v>
      </c>
      <c r="D14" s="1" t="s">
        <v>112</v>
      </c>
      <c r="E14" s="3" t="s">
        <v>113</v>
      </c>
      <c r="F14" s="1" t="s">
        <v>55</v>
      </c>
      <c r="G14" s="3" t="s">
        <v>114</v>
      </c>
      <c r="H14" s="1" t="s">
        <v>115</v>
      </c>
    </row>
    <row r="15" spans="1:8" ht="48" customHeight="1">
      <c r="A15" s="1" t="s">
        <v>116</v>
      </c>
      <c r="B15" s="1" t="s">
        <v>110</v>
      </c>
      <c r="C15" s="1" t="s">
        <v>111</v>
      </c>
      <c r="D15" s="1" t="s">
        <v>117</v>
      </c>
      <c r="E15" s="3" t="s">
        <v>118</v>
      </c>
      <c r="F15" s="1" t="s">
        <v>55</v>
      </c>
      <c r="G15" s="3" t="s">
        <v>119</v>
      </c>
      <c r="H15" s="1" t="s">
        <v>120</v>
      </c>
    </row>
    <row r="16" spans="1:8" ht="48" customHeight="1">
      <c r="A16" s="1" t="s">
        <v>121</v>
      </c>
      <c r="B16" s="1" t="s">
        <v>110</v>
      </c>
      <c r="C16" s="1" t="s">
        <v>111</v>
      </c>
      <c r="D16" s="1" t="s">
        <v>122</v>
      </c>
      <c r="E16" s="3" t="s">
        <v>123</v>
      </c>
      <c r="F16" s="1" t="s">
        <v>55</v>
      </c>
      <c r="G16" s="3" t="s">
        <v>124</v>
      </c>
      <c r="H16" s="1" t="s">
        <v>125</v>
      </c>
    </row>
    <row r="17" spans="1:8" ht="48" customHeight="1">
      <c r="A17" s="1" t="s">
        <v>126</v>
      </c>
      <c r="B17" s="1" t="s">
        <v>110</v>
      </c>
      <c r="C17" s="1" t="s">
        <v>111</v>
      </c>
      <c r="D17" s="1" t="s">
        <v>127</v>
      </c>
      <c r="E17" s="3" t="s">
        <v>128</v>
      </c>
      <c r="F17" s="1" t="s">
        <v>55</v>
      </c>
      <c r="G17" s="3" t="s">
        <v>129</v>
      </c>
      <c r="H17" s="1" t="s">
        <v>130</v>
      </c>
    </row>
    <row r="18" spans="1:8" ht="48" customHeight="1">
      <c r="A18" s="1" t="s">
        <v>131</v>
      </c>
      <c r="B18" s="1" t="s">
        <v>110</v>
      </c>
      <c r="C18" s="1" t="s">
        <v>111</v>
      </c>
      <c r="D18" s="1" t="s">
        <v>132</v>
      </c>
      <c r="E18" s="3" t="s">
        <v>133</v>
      </c>
      <c r="F18" s="1" t="s">
        <v>55</v>
      </c>
      <c r="G18" s="3" t="s">
        <v>134</v>
      </c>
      <c r="H18" s="1" t="s">
        <v>135</v>
      </c>
    </row>
    <row r="19" spans="1:8" ht="48" customHeight="1">
      <c r="A19" s="1" t="s">
        <v>136</v>
      </c>
      <c r="B19" s="1" t="s">
        <v>110</v>
      </c>
      <c r="C19" s="1" t="s">
        <v>111</v>
      </c>
      <c r="D19" s="1" t="s">
        <v>137</v>
      </c>
      <c r="E19" s="3" t="s">
        <v>138</v>
      </c>
      <c r="F19" s="1" t="s">
        <v>55</v>
      </c>
      <c r="G19" s="3" t="s">
        <v>139</v>
      </c>
      <c r="H19" s="1" t="s">
        <v>140</v>
      </c>
    </row>
    <row r="20" spans="1:8" ht="48" customHeight="1">
      <c r="A20" s="1" t="s">
        <v>141</v>
      </c>
      <c r="B20" s="1" t="s">
        <v>110</v>
      </c>
      <c r="C20" s="1" t="s">
        <v>142</v>
      </c>
      <c r="D20" s="1" t="s">
        <v>143</v>
      </c>
      <c r="E20" s="3" t="s">
        <v>144</v>
      </c>
      <c r="F20" s="1" t="s">
        <v>89</v>
      </c>
      <c r="G20" s="3" t="s">
        <v>145</v>
      </c>
      <c r="H20" s="1" t="s">
        <v>146</v>
      </c>
    </row>
    <row r="21" spans="1:8" ht="48" customHeight="1">
      <c r="A21" s="1" t="s">
        <v>147</v>
      </c>
      <c r="B21" s="1" t="s">
        <v>110</v>
      </c>
      <c r="C21" s="1" t="s">
        <v>93</v>
      </c>
      <c r="D21" s="1" t="s">
        <v>148</v>
      </c>
      <c r="E21" s="3" t="s">
        <v>149</v>
      </c>
      <c r="F21" s="1" t="s">
        <v>55</v>
      </c>
      <c r="G21" s="3" t="s">
        <v>150</v>
      </c>
      <c r="H21" s="1" t="s">
        <v>151</v>
      </c>
    </row>
    <row r="22" spans="1:8" ht="48" customHeight="1">
      <c r="A22" s="1" t="s">
        <v>152</v>
      </c>
      <c r="B22" s="1" t="s">
        <v>153</v>
      </c>
      <c r="C22" s="1" t="s">
        <v>154</v>
      </c>
      <c r="D22" s="1" t="s">
        <v>155</v>
      </c>
      <c r="E22" s="3" t="s">
        <v>156</v>
      </c>
      <c r="F22" s="1" t="s">
        <v>55</v>
      </c>
      <c r="G22" s="3" t="s">
        <v>157</v>
      </c>
      <c r="H22" s="1" t="s">
        <v>158</v>
      </c>
    </row>
    <row r="23" spans="1:8" ht="48" customHeight="1">
      <c r="A23" s="1" t="s">
        <v>159</v>
      </c>
      <c r="B23" s="1" t="s">
        <v>153</v>
      </c>
      <c r="C23" s="1" t="s">
        <v>160</v>
      </c>
      <c r="D23" s="1" t="s">
        <v>161</v>
      </c>
      <c r="E23" s="3" t="s">
        <v>162</v>
      </c>
      <c r="F23" s="1" t="s">
        <v>55</v>
      </c>
      <c r="G23" s="3" t="s">
        <v>163</v>
      </c>
      <c r="H23" s="1" t="s">
        <v>164</v>
      </c>
    </row>
    <row r="24" spans="1:8" ht="48" customHeight="1">
      <c r="A24" s="1" t="s">
        <v>165</v>
      </c>
      <c r="B24" s="1" t="s">
        <v>153</v>
      </c>
      <c r="C24" s="1" t="s">
        <v>160</v>
      </c>
      <c r="D24" s="1" t="s">
        <v>166</v>
      </c>
      <c r="E24" s="3" t="s">
        <v>167</v>
      </c>
      <c r="F24" s="1" t="s">
        <v>55</v>
      </c>
      <c r="G24" s="3" t="s">
        <v>168</v>
      </c>
      <c r="H24" s="1" t="s">
        <v>169</v>
      </c>
    </row>
    <row r="25" spans="1:8" ht="48" customHeight="1">
      <c r="A25" s="1" t="s">
        <v>170</v>
      </c>
      <c r="B25" s="1" t="s">
        <v>153</v>
      </c>
      <c r="C25" s="1" t="s">
        <v>160</v>
      </c>
      <c r="D25" s="1" t="s">
        <v>171</v>
      </c>
      <c r="E25" s="3" t="s">
        <v>172</v>
      </c>
      <c r="F25" s="1" t="s">
        <v>55</v>
      </c>
      <c r="G25" s="3" t="s">
        <v>173</v>
      </c>
      <c r="H25" s="1" t="s">
        <v>174</v>
      </c>
    </row>
    <row r="26" spans="1:8" ht="48" customHeight="1">
      <c r="A26" s="1" t="s">
        <v>175</v>
      </c>
      <c r="B26" s="1" t="s">
        <v>153</v>
      </c>
      <c r="C26" s="1" t="s">
        <v>160</v>
      </c>
      <c r="D26" s="1" t="s">
        <v>176</v>
      </c>
      <c r="E26" s="3" t="s">
        <v>177</v>
      </c>
      <c r="F26" s="1" t="s">
        <v>89</v>
      </c>
      <c r="G26" s="3" t="s">
        <v>178</v>
      </c>
      <c r="H26" s="1" t="s">
        <v>179</v>
      </c>
    </row>
    <row r="27" spans="1:8" ht="48" customHeight="1">
      <c r="A27" s="1" t="s">
        <v>180</v>
      </c>
      <c r="B27" s="1" t="s">
        <v>153</v>
      </c>
      <c r="C27" s="1" t="s">
        <v>160</v>
      </c>
      <c r="D27" s="1" t="s">
        <v>181</v>
      </c>
      <c r="E27" s="3" t="s">
        <v>182</v>
      </c>
      <c r="F27" s="1" t="s">
        <v>89</v>
      </c>
      <c r="G27" s="3" t="s">
        <v>183</v>
      </c>
      <c r="H27" s="1" t="s">
        <v>184</v>
      </c>
    </row>
    <row r="28" spans="1:8" ht="48" customHeight="1">
      <c r="A28" s="1" t="s">
        <v>185</v>
      </c>
      <c r="B28" s="1" t="s">
        <v>153</v>
      </c>
      <c r="C28" s="1" t="s">
        <v>186</v>
      </c>
      <c r="D28" s="1" t="s">
        <v>187</v>
      </c>
      <c r="E28" s="3" t="s">
        <v>188</v>
      </c>
      <c r="F28" s="1" t="s">
        <v>55</v>
      </c>
      <c r="G28" s="3" t="s">
        <v>189</v>
      </c>
      <c r="H28" s="1" t="s">
        <v>190</v>
      </c>
    </row>
    <row r="29" spans="1:8" ht="48" customHeight="1">
      <c r="A29" s="1" t="s">
        <v>191</v>
      </c>
      <c r="B29" s="1" t="s">
        <v>192</v>
      </c>
      <c r="C29" s="1" t="s">
        <v>193</v>
      </c>
      <c r="D29" s="1" t="s">
        <v>194</v>
      </c>
      <c r="E29" s="3" t="s">
        <v>195</v>
      </c>
      <c r="F29" s="1" t="s">
        <v>55</v>
      </c>
      <c r="G29" s="3" t="s">
        <v>196</v>
      </c>
      <c r="H29" s="1" t="s">
        <v>197</v>
      </c>
    </row>
    <row r="30" spans="1:8" ht="48" customHeight="1">
      <c r="A30" s="1" t="s">
        <v>198</v>
      </c>
      <c r="B30" s="1" t="s">
        <v>192</v>
      </c>
      <c r="C30" s="1" t="s">
        <v>193</v>
      </c>
      <c r="D30" s="1" t="s">
        <v>199</v>
      </c>
      <c r="E30" s="3" t="s">
        <v>200</v>
      </c>
      <c r="F30" s="1" t="s">
        <v>55</v>
      </c>
      <c r="G30" s="3" t="s">
        <v>201</v>
      </c>
      <c r="H30" s="1" t="s">
        <v>202</v>
      </c>
    </row>
    <row r="31" spans="1:8" ht="48" customHeight="1">
      <c r="A31" s="1" t="s">
        <v>203</v>
      </c>
      <c r="B31" s="1" t="s">
        <v>192</v>
      </c>
      <c r="C31" s="1" t="s">
        <v>193</v>
      </c>
      <c r="D31" s="1" t="s">
        <v>204</v>
      </c>
      <c r="E31" s="3" t="s">
        <v>205</v>
      </c>
      <c r="F31" s="1" t="s">
        <v>55</v>
      </c>
      <c r="G31" s="3" t="s">
        <v>206</v>
      </c>
      <c r="H31" s="1" t="s">
        <v>207</v>
      </c>
    </row>
    <row r="32" spans="1:8" ht="48" customHeight="1">
      <c r="A32" s="1" t="s">
        <v>208</v>
      </c>
      <c r="B32" s="1" t="s">
        <v>192</v>
      </c>
      <c r="C32" s="1" t="s">
        <v>193</v>
      </c>
      <c r="D32" s="1" t="s">
        <v>209</v>
      </c>
      <c r="E32" s="3" t="s">
        <v>210</v>
      </c>
      <c r="F32" s="1" t="s">
        <v>89</v>
      </c>
      <c r="G32" s="3" t="s">
        <v>211</v>
      </c>
      <c r="H32" s="1" t="s">
        <v>212</v>
      </c>
    </row>
    <row r="33" spans="1:8" ht="48" customHeight="1">
      <c r="A33" s="1" t="s">
        <v>213</v>
      </c>
      <c r="B33" s="1" t="s">
        <v>192</v>
      </c>
      <c r="C33" s="1" t="s">
        <v>193</v>
      </c>
      <c r="D33" s="1" t="s">
        <v>214</v>
      </c>
      <c r="E33" s="3" t="s">
        <v>215</v>
      </c>
      <c r="F33" s="1" t="s">
        <v>55</v>
      </c>
      <c r="G33" s="3" t="s">
        <v>216</v>
      </c>
      <c r="H33" s="1" t="s">
        <v>217</v>
      </c>
    </row>
    <row r="34" spans="1:8" ht="48" customHeight="1">
      <c r="A34" s="1" t="s">
        <v>218</v>
      </c>
      <c r="B34" s="1" t="s">
        <v>192</v>
      </c>
      <c r="C34" s="1" t="s">
        <v>193</v>
      </c>
      <c r="D34" s="1" t="s">
        <v>219</v>
      </c>
      <c r="E34" s="3" t="s">
        <v>220</v>
      </c>
      <c r="F34" s="1" t="s">
        <v>55</v>
      </c>
      <c r="G34" s="3" t="s">
        <v>221</v>
      </c>
      <c r="H34" s="1" t="s">
        <v>222</v>
      </c>
    </row>
    <row r="35" spans="1:8" ht="48" customHeight="1">
      <c r="A35" s="1" t="s">
        <v>223</v>
      </c>
      <c r="B35" s="1" t="s">
        <v>224</v>
      </c>
      <c r="C35" s="1" t="s">
        <v>154</v>
      </c>
      <c r="D35" s="1" t="s">
        <v>225</v>
      </c>
      <c r="E35" s="3" t="s">
        <v>226</v>
      </c>
      <c r="F35" s="1" t="s">
        <v>55</v>
      </c>
      <c r="G35" s="3" t="s">
        <v>227</v>
      </c>
      <c r="H35" s="1" t="s">
        <v>228</v>
      </c>
    </row>
    <row r="36" spans="1:8" ht="48" customHeight="1">
      <c r="A36" s="1" t="s">
        <v>229</v>
      </c>
      <c r="B36" s="1" t="s">
        <v>224</v>
      </c>
      <c r="C36" s="1" t="s">
        <v>154</v>
      </c>
      <c r="D36" s="1" t="s">
        <v>230</v>
      </c>
      <c r="E36" s="3" t="s">
        <v>231</v>
      </c>
      <c r="F36" s="1" t="s">
        <v>55</v>
      </c>
      <c r="G36" s="3" t="s">
        <v>232</v>
      </c>
      <c r="H36" s="1" t="s">
        <v>233</v>
      </c>
    </row>
    <row r="37" spans="1:8" ht="48" customHeight="1">
      <c r="A37" s="1" t="s">
        <v>234</v>
      </c>
      <c r="B37" s="1" t="s">
        <v>224</v>
      </c>
      <c r="C37" s="1" t="s">
        <v>160</v>
      </c>
      <c r="D37" s="1" t="s">
        <v>235</v>
      </c>
      <c r="E37" s="3" t="s">
        <v>236</v>
      </c>
      <c r="F37" s="1" t="s">
        <v>55</v>
      </c>
      <c r="G37" s="3" t="s">
        <v>237</v>
      </c>
      <c r="H37" s="1" t="s">
        <v>238</v>
      </c>
    </row>
    <row r="38" spans="1:8" ht="48" customHeight="1">
      <c r="A38" s="1" t="s">
        <v>239</v>
      </c>
      <c r="B38" s="1" t="s">
        <v>224</v>
      </c>
      <c r="C38" s="1" t="s">
        <v>193</v>
      </c>
      <c r="D38" s="1" t="s">
        <v>240</v>
      </c>
      <c r="E38" s="3" t="s">
        <v>241</v>
      </c>
      <c r="F38" s="1" t="s">
        <v>55</v>
      </c>
      <c r="G38" s="3" t="s">
        <v>242</v>
      </c>
      <c r="H38" s="1" t="s">
        <v>243</v>
      </c>
    </row>
    <row r="39" spans="1:8" ht="48" customHeight="1">
      <c r="A39" s="1" t="s">
        <v>244</v>
      </c>
      <c r="B39" s="1" t="s">
        <v>224</v>
      </c>
      <c r="C39" s="1" t="s">
        <v>193</v>
      </c>
      <c r="D39" s="1" t="s">
        <v>245</v>
      </c>
      <c r="E39" s="3" t="s">
        <v>246</v>
      </c>
      <c r="F39" s="1" t="s">
        <v>55</v>
      </c>
      <c r="G39" s="3" t="s">
        <v>247</v>
      </c>
      <c r="H39" s="1" t="s">
        <v>248</v>
      </c>
    </row>
    <row r="40" spans="1:8" ht="48" customHeight="1">
      <c r="A40" s="1" t="s">
        <v>249</v>
      </c>
      <c r="B40" s="1" t="s">
        <v>224</v>
      </c>
      <c r="C40" s="1" t="s">
        <v>160</v>
      </c>
      <c r="D40" s="1" t="s">
        <v>250</v>
      </c>
      <c r="E40" s="3" t="s">
        <v>251</v>
      </c>
      <c r="F40" s="1" t="s">
        <v>89</v>
      </c>
      <c r="G40" s="3" t="s">
        <v>252</v>
      </c>
      <c r="H40" s="1" t="s">
        <v>253</v>
      </c>
    </row>
    <row r="41" spans="1:8" ht="48" customHeight="1">
      <c r="A41" s="1" t="s">
        <v>254</v>
      </c>
      <c r="B41" s="1" t="s">
        <v>255</v>
      </c>
      <c r="C41" s="1" t="s">
        <v>160</v>
      </c>
      <c r="D41" s="1" t="s">
        <v>256</v>
      </c>
      <c r="E41" s="3" t="s">
        <v>257</v>
      </c>
      <c r="F41" s="1" t="s">
        <v>55</v>
      </c>
      <c r="G41" s="3" t="s">
        <v>258</v>
      </c>
      <c r="H41" s="1" t="s">
        <v>259</v>
      </c>
    </row>
    <row r="42" spans="1:8" ht="48" customHeight="1">
      <c r="A42" s="1" t="s">
        <v>260</v>
      </c>
      <c r="B42" s="1" t="s">
        <v>255</v>
      </c>
      <c r="C42" s="1" t="s">
        <v>160</v>
      </c>
      <c r="D42" s="1" t="s">
        <v>261</v>
      </c>
      <c r="E42" s="3" t="s">
        <v>262</v>
      </c>
      <c r="F42" s="1" t="s">
        <v>55</v>
      </c>
      <c r="G42" s="3" t="s">
        <v>263</v>
      </c>
      <c r="H42" s="1" t="s">
        <v>264</v>
      </c>
    </row>
    <row r="43" spans="1:8" ht="48" customHeight="1">
      <c r="A43" s="1" t="s">
        <v>265</v>
      </c>
      <c r="B43" s="1" t="s">
        <v>255</v>
      </c>
      <c r="C43" s="1" t="s">
        <v>160</v>
      </c>
      <c r="D43" s="1" t="s">
        <v>266</v>
      </c>
      <c r="E43" s="3" t="s">
        <v>267</v>
      </c>
      <c r="F43" s="1" t="s">
        <v>55</v>
      </c>
      <c r="G43" s="3" t="s">
        <v>268</v>
      </c>
      <c r="H43" s="1" t="s">
        <v>269</v>
      </c>
    </row>
    <row r="44" spans="1:8" ht="48" customHeight="1">
      <c r="A44" s="1" t="s">
        <v>270</v>
      </c>
      <c r="B44" s="1" t="s">
        <v>255</v>
      </c>
      <c r="C44" s="1" t="s">
        <v>111</v>
      </c>
      <c r="D44" s="1" t="s">
        <v>271</v>
      </c>
      <c r="E44" s="3" t="s">
        <v>272</v>
      </c>
      <c r="F44" s="1" t="s">
        <v>89</v>
      </c>
      <c r="G44" s="3" t="s">
        <v>273</v>
      </c>
      <c r="H44" s="1" t="s">
        <v>274</v>
      </c>
    </row>
    <row r="45" spans="1:8" ht="48" customHeight="1">
      <c r="A45" s="1" t="s">
        <v>275</v>
      </c>
      <c r="B45" s="1" t="s">
        <v>255</v>
      </c>
      <c r="C45" s="1" t="s">
        <v>154</v>
      </c>
      <c r="D45" s="1" t="s">
        <v>276</v>
      </c>
      <c r="E45" s="3" t="s">
        <v>277</v>
      </c>
      <c r="F45" s="1" t="s">
        <v>89</v>
      </c>
      <c r="G45" s="3" t="s">
        <v>278</v>
      </c>
      <c r="H45" s="1" t="s">
        <v>279</v>
      </c>
    </row>
    <row r="46" spans="1:8" ht="48" customHeight="1">
      <c r="A46" s="1" t="s">
        <v>280</v>
      </c>
      <c r="B46" s="1" t="s">
        <v>281</v>
      </c>
      <c r="C46" s="1" t="s">
        <v>282</v>
      </c>
      <c r="D46" s="1" t="s">
        <v>283</v>
      </c>
      <c r="E46" s="3" t="s">
        <v>284</v>
      </c>
      <c r="F46" s="1" t="s">
        <v>55</v>
      </c>
      <c r="G46" s="3" t="s">
        <v>285</v>
      </c>
      <c r="H46" s="1" t="s">
        <v>286</v>
      </c>
    </row>
    <row r="47" spans="1:8" ht="48" customHeight="1">
      <c r="A47" s="1" t="s">
        <v>287</v>
      </c>
      <c r="B47" s="1" t="s">
        <v>281</v>
      </c>
      <c r="C47" s="1" t="s">
        <v>288</v>
      </c>
      <c r="D47" s="1" t="s">
        <v>289</v>
      </c>
      <c r="E47" s="3" t="s">
        <v>290</v>
      </c>
      <c r="F47" s="1" t="s">
        <v>55</v>
      </c>
      <c r="G47" s="3" t="s">
        <v>291</v>
      </c>
      <c r="H47" s="1" t="s">
        <v>292</v>
      </c>
    </row>
    <row r="48" spans="1:8" ht="48" customHeight="1">
      <c r="A48" s="1" t="s">
        <v>293</v>
      </c>
      <c r="B48" s="1" t="s">
        <v>281</v>
      </c>
      <c r="C48" s="1" t="s">
        <v>282</v>
      </c>
      <c r="D48" s="1" t="s">
        <v>294</v>
      </c>
      <c r="E48" s="3" t="s">
        <v>295</v>
      </c>
      <c r="F48" s="1" t="s">
        <v>55</v>
      </c>
      <c r="G48" s="3" t="s">
        <v>296</v>
      </c>
      <c r="H48" s="1" t="s">
        <v>297</v>
      </c>
    </row>
    <row r="49" spans="1:8" ht="48" customHeight="1">
      <c r="A49" s="1" t="s">
        <v>298</v>
      </c>
      <c r="B49" s="1" t="s">
        <v>281</v>
      </c>
      <c r="C49" s="1" t="s">
        <v>299</v>
      </c>
      <c r="D49" s="1" t="s">
        <v>300</v>
      </c>
      <c r="E49" s="3" t="s">
        <v>301</v>
      </c>
      <c r="F49" s="1" t="s">
        <v>55</v>
      </c>
      <c r="G49" s="3" t="s">
        <v>302</v>
      </c>
      <c r="H49" s="1" t="s">
        <v>303</v>
      </c>
    </row>
    <row r="50" spans="1:8" ht="48" customHeight="1">
      <c r="A50" s="1" t="s">
        <v>304</v>
      </c>
      <c r="B50" s="1" t="s">
        <v>281</v>
      </c>
      <c r="C50" s="1" t="s">
        <v>193</v>
      </c>
      <c r="D50" s="1" t="s">
        <v>305</v>
      </c>
      <c r="E50" s="3" t="s">
        <v>306</v>
      </c>
      <c r="F50" s="1" t="s">
        <v>55</v>
      </c>
      <c r="G50" s="3" t="s">
        <v>307</v>
      </c>
      <c r="H50" s="1" t="s">
        <v>308</v>
      </c>
    </row>
    <row r="51" spans="1:8" ht="48" customHeight="1">
      <c r="A51" s="1" t="s">
        <v>309</v>
      </c>
      <c r="B51" s="1" t="s">
        <v>281</v>
      </c>
      <c r="C51" s="1" t="s">
        <v>310</v>
      </c>
      <c r="D51" s="1" t="s">
        <v>311</v>
      </c>
      <c r="E51" s="3" t="s">
        <v>312</v>
      </c>
      <c r="F51" s="1" t="s">
        <v>89</v>
      </c>
      <c r="G51" s="3" t="s">
        <v>313</v>
      </c>
      <c r="H51" s="1" t="s">
        <v>314</v>
      </c>
    </row>
    <row r="52" spans="1:8" ht="48" customHeight="1">
      <c r="A52" s="1" t="s">
        <v>315</v>
      </c>
      <c r="B52" s="1" t="s">
        <v>281</v>
      </c>
      <c r="C52" s="1" t="s">
        <v>142</v>
      </c>
      <c r="D52" s="1" t="s">
        <v>316</v>
      </c>
      <c r="E52" s="3" t="s">
        <v>317</v>
      </c>
      <c r="F52" s="1" t="s">
        <v>89</v>
      </c>
      <c r="G52" s="3" t="s">
        <v>318</v>
      </c>
      <c r="H52" s="1" t="s">
        <v>319</v>
      </c>
    </row>
    <row r="53" spans="1:8" ht="48" customHeight="1">
      <c r="A53" s="1" t="s">
        <v>320</v>
      </c>
      <c r="B53" s="1" t="s">
        <v>281</v>
      </c>
      <c r="C53" s="1" t="s">
        <v>321</v>
      </c>
      <c r="D53" s="1" t="s">
        <v>322</v>
      </c>
      <c r="E53" s="3" t="s">
        <v>323</v>
      </c>
      <c r="F53" s="1" t="s">
        <v>89</v>
      </c>
      <c r="G53" s="3" t="s">
        <v>324</v>
      </c>
      <c r="H53" s="1" t="s">
        <v>325</v>
      </c>
    </row>
    <row r="54" spans="1:8" ht="48" customHeight="1">
      <c r="A54" s="1" t="s">
        <v>326</v>
      </c>
      <c r="B54" s="1" t="s">
        <v>281</v>
      </c>
      <c r="C54" s="1" t="s">
        <v>327</v>
      </c>
      <c r="D54" s="1" t="s">
        <v>328</v>
      </c>
      <c r="E54" s="3" t="s">
        <v>329</v>
      </c>
      <c r="F54" s="1" t="s">
        <v>55</v>
      </c>
      <c r="G54" s="3" t="s">
        <v>330</v>
      </c>
      <c r="H54" s="1" t="s">
        <v>331</v>
      </c>
    </row>
    <row r="55" spans="1:8" ht="48" customHeight="1">
      <c r="A55" s="1" t="s">
        <v>332</v>
      </c>
      <c r="B55" s="1" t="s">
        <v>333</v>
      </c>
      <c r="C55" s="1" t="s">
        <v>334</v>
      </c>
      <c r="D55" s="1" t="s">
        <v>335</v>
      </c>
      <c r="E55" s="3" t="s">
        <v>336</v>
      </c>
      <c r="F55" s="1" t="s">
        <v>55</v>
      </c>
      <c r="G55" s="3" t="s">
        <v>337</v>
      </c>
      <c r="H55" s="1" t="s">
        <v>338</v>
      </c>
    </row>
    <row r="56" spans="1:8" ht="48" customHeight="1">
      <c r="A56" s="1" t="s">
        <v>339</v>
      </c>
      <c r="B56" s="1" t="s">
        <v>333</v>
      </c>
      <c r="C56" s="1" t="s">
        <v>340</v>
      </c>
      <c r="D56" s="1" t="s">
        <v>341</v>
      </c>
      <c r="E56" s="3" t="s">
        <v>342</v>
      </c>
      <c r="F56" s="1" t="s">
        <v>55</v>
      </c>
      <c r="G56" s="3" t="s">
        <v>343</v>
      </c>
      <c r="H56" s="1" t="s">
        <v>344</v>
      </c>
    </row>
    <row r="57" spans="1:8" ht="48" customHeight="1">
      <c r="A57" s="1" t="s">
        <v>345</v>
      </c>
      <c r="B57" s="1" t="s">
        <v>333</v>
      </c>
      <c r="C57" s="1" t="s">
        <v>340</v>
      </c>
      <c r="D57" s="1" t="s">
        <v>346</v>
      </c>
      <c r="E57" s="3" t="s">
        <v>347</v>
      </c>
      <c r="F57" s="1" t="s">
        <v>55</v>
      </c>
      <c r="G57" s="3" t="s">
        <v>348</v>
      </c>
      <c r="H57" s="1" t="s">
        <v>349</v>
      </c>
    </row>
    <row r="58" spans="1:8" ht="48" customHeight="1">
      <c r="A58" s="1" t="s">
        <v>350</v>
      </c>
      <c r="B58" s="1" t="s">
        <v>333</v>
      </c>
      <c r="C58" s="1" t="s">
        <v>351</v>
      </c>
      <c r="D58" s="1" t="s">
        <v>352</v>
      </c>
      <c r="E58" s="3" t="s">
        <v>353</v>
      </c>
      <c r="F58" s="1" t="s">
        <v>89</v>
      </c>
      <c r="G58" s="3" t="s">
        <v>354</v>
      </c>
      <c r="H58" s="1" t="s">
        <v>355</v>
      </c>
    </row>
    <row r="59" spans="1:8" ht="48" customHeight="1">
      <c r="A59" s="1" t="s">
        <v>356</v>
      </c>
      <c r="B59" s="1" t="s">
        <v>333</v>
      </c>
      <c r="C59" s="1" t="s">
        <v>357</v>
      </c>
      <c r="D59" s="1" t="s">
        <v>358</v>
      </c>
      <c r="E59" s="3" t="s">
        <v>359</v>
      </c>
      <c r="F59" s="1" t="s">
        <v>55</v>
      </c>
      <c r="G59" s="3" t="s">
        <v>360</v>
      </c>
      <c r="H59" s="1" t="s">
        <v>361</v>
      </c>
    </row>
    <row r="60" spans="1:8" ht="48" customHeight="1">
      <c r="A60" s="1" t="s">
        <v>362</v>
      </c>
      <c r="B60" s="1" t="s">
        <v>333</v>
      </c>
      <c r="C60" s="1" t="s">
        <v>363</v>
      </c>
      <c r="D60" s="1" t="s">
        <v>364</v>
      </c>
      <c r="E60" s="3" t="s">
        <v>365</v>
      </c>
      <c r="F60" s="1" t="s">
        <v>89</v>
      </c>
      <c r="G60" s="3" t="s">
        <v>366</v>
      </c>
      <c r="H60" s="1" t="s">
        <v>367</v>
      </c>
    </row>
    <row r="61" spans="1:8" ht="48" customHeight="1">
      <c r="A61" s="1" t="s">
        <v>368</v>
      </c>
      <c r="B61" s="1" t="s">
        <v>333</v>
      </c>
      <c r="C61" s="1" t="s">
        <v>369</v>
      </c>
      <c r="D61" s="1" t="s">
        <v>370</v>
      </c>
      <c r="E61" s="3" t="s">
        <v>371</v>
      </c>
      <c r="F61" s="1" t="s">
        <v>89</v>
      </c>
      <c r="G61" s="3" t="s">
        <v>372</v>
      </c>
      <c r="H61" s="1" t="s">
        <v>373</v>
      </c>
    </row>
    <row r="62" spans="1:8" ht="48" customHeight="1">
      <c r="A62" s="1" t="s">
        <v>374</v>
      </c>
      <c r="B62" s="1" t="s">
        <v>333</v>
      </c>
      <c r="C62" s="1" t="s">
        <v>375</v>
      </c>
      <c r="D62" s="1" t="s">
        <v>376</v>
      </c>
      <c r="E62" s="3" t="s">
        <v>377</v>
      </c>
      <c r="F62" s="1" t="s">
        <v>89</v>
      </c>
      <c r="G62" s="3" t="s">
        <v>378</v>
      </c>
      <c r="H62" s="1" t="s">
        <v>379</v>
      </c>
    </row>
    <row r="63" spans="1:8" ht="48" customHeight="1">
      <c r="A63" s="1" t="s">
        <v>380</v>
      </c>
      <c r="B63" s="1" t="s">
        <v>333</v>
      </c>
      <c r="C63" s="1" t="s">
        <v>381</v>
      </c>
      <c r="D63" s="1" t="s">
        <v>382</v>
      </c>
      <c r="E63" s="3" t="s">
        <v>383</v>
      </c>
      <c r="F63" s="1" t="s">
        <v>55</v>
      </c>
      <c r="G63" s="3" t="s">
        <v>384</v>
      </c>
      <c r="H63" s="1" t="s">
        <v>385</v>
      </c>
    </row>
    <row r="64" spans="1:8" ht="48" customHeight="1">
      <c r="A64" s="1" t="s">
        <v>386</v>
      </c>
      <c r="B64" s="1" t="s">
        <v>387</v>
      </c>
      <c r="C64" s="1" t="s">
        <v>388</v>
      </c>
      <c r="D64" s="1" t="s">
        <v>389</v>
      </c>
      <c r="E64" s="3" t="s">
        <v>390</v>
      </c>
      <c r="F64" s="1" t="s">
        <v>55</v>
      </c>
      <c r="G64" s="3" t="s">
        <v>391</v>
      </c>
      <c r="H64" s="1" t="s">
        <v>392</v>
      </c>
    </row>
    <row r="65" spans="1:8" ht="48" customHeight="1">
      <c r="A65" s="1" t="s">
        <v>393</v>
      </c>
      <c r="B65" s="1" t="s">
        <v>387</v>
      </c>
      <c r="C65" s="1" t="s">
        <v>394</v>
      </c>
      <c r="D65" s="1" t="s">
        <v>395</v>
      </c>
      <c r="E65" s="3" t="s">
        <v>396</v>
      </c>
      <c r="F65" s="1" t="s">
        <v>55</v>
      </c>
      <c r="G65" s="3" t="s">
        <v>397</v>
      </c>
      <c r="H65" s="1" t="s">
        <v>398</v>
      </c>
    </row>
    <row r="66" spans="1:8" ht="48" customHeight="1">
      <c r="A66" s="1" t="s">
        <v>399</v>
      </c>
      <c r="B66" s="1" t="s">
        <v>387</v>
      </c>
      <c r="C66" s="1" t="s">
        <v>388</v>
      </c>
      <c r="D66" s="1" t="s">
        <v>400</v>
      </c>
      <c r="E66" s="3" t="s">
        <v>401</v>
      </c>
      <c r="F66" s="1" t="s">
        <v>89</v>
      </c>
      <c r="G66" s="3" t="s">
        <v>402</v>
      </c>
      <c r="H66" s="1" t="s">
        <v>403</v>
      </c>
    </row>
    <row r="67" spans="1:8" ht="48" customHeight="1">
      <c r="A67" s="1" t="s">
        <v>404</v>
      </c>
      <c r="B67" s="1" t="s">
        <v>387</v>
      </c>
      <c r="C67" s="1" t="s">
        <v>93</v>
      </c>
      <c r="D67" s="1" t="s">
        <v>405</v>
      </c>
      <c r="E67" s="3" t="s">
        <v>406</v>
      </c>
      <c r="F67" s="1" t="s">
        <v>55</v>
      </c>
      <c r="G67" s="3" t="s">
        <v>407</v>
      </c>
      <c r="H67" s="1" t="s">
        <v>408</v>
      </c>
    </row>
    <row r="68" spans="1:8" ht="48" customHeight="1">
      <c r="A68" s="1" t="s">
        <v>409</v>
      </c>
      <c r="B68" s="1" t="s">
        <v>387</v>
      </c>
      <c r="C68" s="1" t="s">
        <v>193</v>
      </c>
      <c r="D68" s="1" t="s">
        <v>410</v>
      </c>
      <c r="E68" s="3" t="s">
        <v>411</v>
      </c>
      <c r="F68" s="1" t="s">
        <v>55</v>
      </c>
      <c r="G68" s="3" t="s">
        <v>412</v>
      </c>
      <c r="H68" s="1" t="s">
        <v>413</v>
      </c>
    </row>
    <row r="69" spans="1:8" ht="48" customHeight="1">
      <c r="A69" s="1" t="s">
        <v>414</v>
      </c>
      <c r="B69" s="1" t="s">
        <v>387</v>
      </c>
      <c r="C69" s="1" t="s">
        <v>327</v>
      </c>
      <c r="D69" s="1" t="s">
        <v>415</v>
      </c>
      <c r="E69" s="3" t="s">
        <v>416</v>
      </c>
      <c r="F69" s="1" t="s">
        <v>89</v>
      </c>
      <c r="G69" s="3" t="s">
        <v>417</v>
      </c>
      <c r="H69" s="1" t="s">
        <v>418</v>
      </c>
    </row>
    <row r="70" spans="1:8" ht="48" customHeight="1">
      <c r="A70" s="1" t="s">
        <v>419</v>
      </c>
      <c r="B70" s="1" t="s">
        <v>420</v>
      </c>
      <c r="C70" s="1" t="s">
        <v>421</v>
      </c>
      <c r="D70" s="1" t="s">
        <v>422</v>
      </c>
      <c r="E70" s="3" t="s">
        <v>423</v>
      </c>
      <c r="F70" s="1" t="s">
        <v>55</v>
      </c>
      <c r="G70" s="3" t="s">
        <v>424</v>
      </c>
      <c r="H70" s="1" t="s">
        <v>425</v>
      </c>
    </row>
    <row r="71" spans="1:8" ht="48" customHeight="1">
      <c r="A71" s="1" t="s">
        <v>426</v>
      </c>
      <c r="B71" s="1" t="s">
        <v>420</v>
      </c>
      <c r="C71" s="1" t="s">
        <v>421</v>
      </c>
      <c r="D71" s="1" t="s">
        <v>427</v>
      </c>
      <c r="E71" s="3" t="s">
        <v>428</v>
      </c>
      <c r="F71" s="1" t="s">
        <v>55</v>
      </c>
      <c r="G71" s="3" t="s">
        <v>429</v>
      </c>
      <c r="H71" s="1" t="s">
        <v>430</v>
      </c>
    </row>
    <row r="72" spans="1:8" ht="48" customHeight="1">
      <c r="A72" s="1" t="s">
        <v>431</v>
      </c>
      <c r="B72" s="1" t="s">
        <v>420</v>
      </c>
      <c r="C72" s="1" t="s">
        <v>432</v>
      </c>
      <c r="D72" s="1" t="s">
        <v>433</v>
      </c>
      <c r="E72" s="3" t="s">
        <v>434</v>
      </c>
      <c r="F72" s="1" t="s">
        <v>55</v>
      </c>
      <c r="G72" s="3" t="s">
        <v>435</v>
      </c>
      <c r="H72" s="1" t="s">
        <v>436</v>
      </c>
    </row>
    <row r="73" spans="1:8" ht="48" customHeight="1">
      <c r="A73" s="1" t="s">
        <v>437</v>
      </c>
      <c r="B73" s="1" t="s">
        <v>420</v>
      </c>
      <c r="C73" s="1" t="s">
        <v>438</v>
      </c>
      <c r="D73" s="1" t="s">
        <v>439</v>
      </c>
      <c r="E73" s="3" t="s">
        <v>440</v>
      </c>
      <c r="F73" s="1" t="s">
        <v>55</v>
      </c>
      <c r="G73" s="3" t="s">
        <v>441</v>
      </c>
      <c r="H73" s="1" t="s">
        <v>442</v>
      </c>
    </row>
    <row r="74" spans="1:8" ht="48" customHeight="1">
      <c r="A74" s="1" t="s">
        <v>443</v>
      </c>
      <c r="B74" s="1" t="s">
        <v>420</v>
      </c>
      <c r="C74" s="1" t="s">
        <v>438</v>
      </c>
      <c r="D74" s="1" t="s">
        <v>444</v>
      </c>
      <c r="E74" s="3" t="s">
        <v>445</v>
      </c>
      <c r="F74" s="1" t="s">
        <v>89</v>
      </c>
      <c r="G74" s="3" t="s">
        <v>446</v>
      </c>
      <c r="H74" s="1" t="s">
        <v>447</v>
      </c>
    </row>
    <row r="75" spans="1:8" ht="48" customHeight="1">
      <c r="A75" s="1" t="s">
        <v>448</v>
      </c>
      <c r="B75" s="1" t="s">
        <v>420</v>
      </c>
      <c r="C75" s="1" t="s">
        <v>449</v>
      </c>
      <c r="D75" s="1" t="s">
        <v>450</v>
      </c>
      <c r="E75" s="3" t="s">
        <v>451</v>
      </c>
      <c r="F75" s="1" t="s">
        <v>55</v>
      </c>
      <c r="G75" s="3" t="s">
        <v>452</v>
      </c>
      <c r="H75" s="1" t="s">
        <v>453</v>
      </c>
    </row>
    <row r="76" spans="1:8" ht="48" customHeight="1">
      <c r="A76" s="1" t="s">
        <v>454</v>
      </c>
      <c r="B76" s="1" t="s">
        <v>420</v>
      </c>
      <c r="C76" s="1" t="s">
        <v>455</v>
      </c>
      <c r="D76" s="1" t="s">
        <v>456</v>
      </c>
      <c r="E76" s="3" t="s">
        <v>457</v>
      </c>
      <c r="F76" s="1" t="s">
        <v>55</v>
      </c>
      <c r="G76" s="3" t="s">
        <v>458</v>
      </c>
      <c r="H76" s="1" t="s">
        <v>459</v>
      </c>
    </row>
  </sheetData>
  <mergeCells count="1">
    <mergeCell ref="A1:H1"/>
  </mergeCells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68"/>
  <sheetViews>
    <sheetView showGridLines="0" tabSelected="1" workbookViewId="0">
      <pane ySplit="3" topLeftCell="A4" activePane="bottomLeft" state="frozen"/>
      <selection pane="bottomLeft" activeCell="J5" sqref="J5"/>
    </sheetView>
  </sheetViews>
  <sheetFormatPr defaultRowHeight="51" customHeight="1"/>
  <cols>
    <col min="1" max="2" width="12" style="12" customWidth="1"/>
    <col min="3" max="3" width="25" style="12" customWidth="1"/>
    <col min="4" max="4" width="15" style="12" customWidth="1"/>
    <col min="5" max="5" width="50.140625" style="12" customWidth="1"/>
    <col min="6" max="6" width="50" style="12" customWidth="1"/>
    <col min="7" max="7" width="11" style="12" customWidth="1"/>
    <col min="8" max="9" width="14" style="12" customWidth="1"/>
    <col min="10" max="10" width="30" style="12" customWidth="1"/>
    <col min="11" max="12" width="15" style="12" customWidth="1"/>
    <col min="13" max="13" width="14" style="12" customWidth="1"/>
    <col min="14" max="14" width="30" style="12" customWidth="1"/>
    <col min="15" max="16384" width="9.140625" style="12"/>
  </cols>
  <sheetData>
    <row r="1" spans="1:14" ht="51" customHeight="1">
      <c r="A1" s="14" t="s">
        <v>460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6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51" customHeight="1">
      <c r="A3" s="5" t="s">
        <v>461</v>
      </c>
      <c r="B3" s="5" t="s">
        <v>462</v>
      </c>
      <c r="C3" s="5" t="s">
        <v>43</v>
      </c>
      <c r="D3" s="5" t="s">
        <v>44</v>
      </c>
      <c r="E3" s="5" t="s">
        <v>463</v>
      </c>
      <c r="F3" s="5" t="s">
        <v>464</v>
      </c>
      <c r="G3" s="5" t="s">
        <v>47</v>
      </c>
      <c r="H3" s="5" t="s">
        <v>465</v>
      </c>
      <c r="I3" s="5" t="s">
        <v>466</v>
      </c>
      <c r="J3" s="5" t="s">
        <v>467</v>
      </c>
      <c r="K3" s="5" t="s">
        <v>468</v>
      </c>
      <c r="L3" s="5" t="s">
        <v>469</v>
      </c>
      <c r="M3" s="5" t="s">
        <v>470</v>
      </c>
      <c r="N3" s="5" t="s">
        <v>471</v>
      </c>
    </row>
    <row r="4" spans="1:14" ht="51" customHeight="1">
      <c r="A4" s="8" t="s">
        <v>472</v>
      </c>
      <c r="B4" s="8" t="s">
        <v>50</v>
      </c>
      <c r="C4" s="8" t="s">
        <v>51</v>
      </c>
      <c r="D4" s="8" t="s">
        <v>52</v>
      </c>
      <c r="E4" s="8" t="s">
        <v>473</v>
      </c>
      <c r="F4" s="3" t="s">
        <v>54</v>
      </c>
      <c r="G4" s="8" t="s">
        <v>55</v>
      </c>
      <c r="H4" s="8">
        <v>1</v>
      </c>
      <c r="I4" s="8"/>
      <c r="J4" s="3" t="s">
        <v>474</v>
      </c>
      <c r="K4" s="8" t="s">
        <v>475</v>
      </c>
      <c r="L4" s="13">
        <v>0</v>
      </c>
      <c r="M4" s="8"/>
      <c r="N4" s="8"/>
    </row>
    <row r="5" spans="1:14" ht="51" customHeight="1">
      <c r="A5" s="8" t="s">
        <v>476</v>
      </c>
      <c r="B5" s="8" t="s">
        <v>50</v>
      </c>
      <c r="C5" s="8" t="s">
        <v>51</v>
      </c>
      <c r="D5" s="8" t="s">
        <v>52</v>
      </c>
      <c r="E5" s="8" t="s">
        <v>477</v>
      </c>
      <c r="F5" s="3" t="s">
        <v>54</v>
      </c>
      <c r="G5" s="8" t="s">
        <v>55</v>
      </c>
      <c r="H5" s="8">
        <v>0.5</v>
      </c>
      <c r="I5" s="8" t="s">
        <v>472</v>
      </c>
      <c r="J5" s="3" t="s">
        <v>478</v>
      </c>
      <c r="K5" s="8" t="s">
        <v>475</v>
      </c>
      <c r="L5" s="13">
        <v>0</v>
      </c>
      <c r="M5" s="8"/>
      <c r="N5" s="8"/>
    </row>
    <row r="6" spans="1:14" ht="51" customHeight="1">
      <c r="A6" s="8" t="s">
        <v>479</v>
      </c>
      <c r="B6" s="8" t="s">
        <v>50</v>
      </c>
      <c r="C6" s="8" t="s">
        <v>51</v>
      </c>
      <c r="D6" s="8" t="s">
        <v>52</v>
      </c>
      <c r="E6" s="8" t="s">
        <v>480</v>
      </c>
      <c r="F6" s="3" t="s">
        <v>54</v>
      </c>
      <c r="G6" s="8" t="s">
        <v>55</v>
      </c>
      <c r="H6" s="8">
        <v>1</v>
      </c>
      <c r="I6" s="8" t="s">
        <v>476</v>
      </c>
      <c r="J6" s="3" t="s">
        <v>57</v>
      </c>
      <c r="K6" s="8" t="s">
        <v>475</v>
      </c>
      <c r="L6" s="13">
        <v>0</v>
      </c>
      <c r="M6" s="8"/>
      <c r="N6" s="8"/>
    </row>
    <row r="7" spans="1:14" ht="51" customHeight="1">
      <c r="A7" s="8" t="s">
        <v>481</v>
      </c>
      <c r="B7" s="8" t="s">
        <v>50</v>
      </c>
      <c r="C7" s="8" t="s">
        <v>51</v>
      </c>
      <c r="D7" s="8" t="s">
        <v>52</v>
      </c>
      <c r="E7" s="8" t="s">
        <v>482</v>
      </c>
      <c r="F7" s="3" t="s">
        <v>54</v>
      </c>
      <c r="G7" s="8" t="s">
        <v>55</v>
      </c>
      <c r="H7" s="8">
        <v>1</v>
      </c>
      <c r="I7" s="8" t="s">
        <v>479</v>
      </c>
      <c r="J7" s="3" t="s">
        <v>483</v>
      </c>
      <c r="K7" s="8" t="s">
        <v>475</v>
      </c>
      <c r="L7" s="13">
        <v>0</v>
      </c>
      <c r="M7" s="8"/>
      <c r="N7" s="8"/>
    </row>
    <row r="8" spans="1:14" ht="51" customHeight="1">
      <c r="A8" s="8" t="s">
        <v>484</v>
      </c>
      <c r="B8" s="8" t="s">
        <v>50</v>
      </c>
      <c r="C8" s="8" t="s">
        <v>51</v>
      </c>
      <c r="D8" s="8" t="s">
        <v>52</v>
      </c>
      <c r="E8" s="8" t="s">
        <v>485</v>
      </c>
      <c r="F8" s="3" t="s">
        <v>54</v>
      </c>
      <c r="G8" s="8" t="s">
        <v>55</v>
      </c>
      <c r="H8" s="8">
        <v>0.5</v>
      </c>
      <c r="I8" s="8" t="s">
        <v>481</v>
      </c>
      <c r="J8" s="3" t="s">
        <v>486</v>
      </c>
      <c r="K8" s="8" t="s">
        <v>475</v>
      </c>
      <c r="L8" s="13">
        <v>0</v>
      </c>
      <c r="M8" s="8"/>
      <c r="N8" s="8"/>
    </row>
    <row r="9" spans="1:14" ht="51" customHeight="1">
      <c r="A9" s="8" t="s">
        <v>487</v>
      </c>
      <c r="B9" s="8" t="s">
        <v>58</v>
      </c>
      <c r="C9" s="8" t="s">
        <v>51</v>
      </c>
      <c r="D9" s="8" t="s">
        <v>59</v>
      </c>
      <c r="E9" s="8" t="s">
        <v>488</v>
      </c>
      <c r="F9" s="3" t="s">
        <v>61</v>
      </c>
      <c r="G9" s="8" t="s">
        <v>55</v>
      </c>
      <c r="H9" s="8">
        <v>0.5</v>
      </c>
      <c r="I9" s="8" t="s">
        <v>484</v>
      </c>
      <c r="J9" s="3" t="s">
        <v>489</v>
      </c>
      <c r="K9" s="8" t="s">
        <v>475</v>
      </c>
      <c r="L9" s="13">
        <v>0</v>
      </c>
      <c r="M9" s="8"/>
      <c r="N9" s="8"/>
    </row>
    <row r="10" spans="1:14" ht="51" customHeight="1">
      <c r="A10" s="8" t="s">
        <v>490</v>
      </c>
      <c r="B10" s="8" t="s">
        <v>58</v>
      </c>
      <c r="C10" s="8" t="s">
        <v>51</v>
      </c>
      <c r="D10" s="8" t="s">
        <v>59</v>
      </c>
      <c r="E10" s="8" t="s">
        <v>491</v>
      </c>
      <c r="F10" s="3" t="s">
        <v>61</v>
      </c>
      <c r="G10" s="8" t="s">
        <v>55</v>
      </c>
      <c r="H10" s="8">
        <v>0.5</v>
      </c>
      <c r="I10" s="8" t="s">
        <v>487</v>
      </c>
      <c r="J10" s="3" t="s">
        <v>492</v>
      </c>
      <c r="K10" s="8" t="s">
        <v>475</v>
      </c>
      <c r="L10" s="13">
        <v>0</v>
      </c>
      <c r="M10" s="8"/>
      <c r="N10" s="8"/>
    </row>
    <row r="11" spans="1:14" ht="51" customHeight="1">
      <c r="A11" s="8" t="s">
        <v>493</v>
      </c>
      <c r="B11" s="8" t="s">
        <v>58</v>
      </c>
      <c r="C11" s="8" t="s">
        <v>51</v>
      </c>
      <c r="D11" s="8" t="s">
        <v>59</v>
      </c>
      <c r="E11" s="8" t="s">
        <v>494</v>
      </c>
      <c r="F11" s="3" t="s">
        <v>61</v>
      </c>
      <c r="G11" s="8" t="s">
        <v>55</v>
      </c>
      <c r="H11" s="8">
        <v>1</v>
      </c>
      <c r="I11" s="8" t="s">
        <v>490</v>
      </c>
      <c r="J11" s="3" t="s">
        <v>63</v>
      </c>
      <c r="K11" s="8" t="s">
        <v>475</v>
      </c>
      <c r="L11" s="13">
        <v>0</v>
      </c>
      <c r="M11" s="8"/>
      <c r="N11" s="8"/>
    </row>
    <row r="12" spans="1:14" ht="51" customHeight="1">
      <c r="A12" s="8" t="s">
        <v>495</v>
      </c>
      <c r="B12" s="8" t="s">
        <v>58</v>
      </c>
      <c r="C12" s="8" t="s">
        <v>51</v>
      </c>
      <c r="D12" s="8" t="s">
        <v>59</v>
      </c>
      <c r="E12" s="8" t="s">
        <v>496</v>
      </c>
      <c r="F12" s="3" t="s">
        <v>61</v>
      </c>
      <c r="G12" s="8" t="s">
        <v>55</v>
      </c>
      <c r="H12" s="8">
        <v>1</v>
      </c>
      <c r="I12" s="8" t="s">
        <v>493</v>
      </c>
      <c r="J12" s="3" t="s">
        <v>497</v>
      </c>
      <c r="K12" s="8" t="s">
        <v>475</v>
      </c>
      <c r="L12" s="13">
        <v>0</v>
      </c>
      <c r="M12" s="8"/>
      <c r="N12" s="8"/>
    </row>
    <row r="13" spans="1:14" ht="51" customHeight="1">
      <c r="A13" s="8" t="s">
        <v>498</v>
      </c>
      <c r="B13" s="8" t="s">
        <v>58</v>
      </c>
      <c r="C13" s="8" t="s">
        <v>51</v>
      </c>
      <c r="D13" s="8" t="s">
        <v>59</v>
      </c>
      <c r="E13" s="8" t="s">
        <v>499</v>
      </c>
      <c r="F13" s="3" t="s">
        <v>61</v>
      </c>
      <c r="G13" s="8" t="s">
        <v>55</v>
      </c>
      <c r="H13" s="8">
        <v>0.5</v>
      </c>
      <c r="I13" s="8" t="s">
        <v>495</v>
      </c>
      <c r="J13" s="3" t="s">
        <v>500</v>
      </c>
      <c r="K13" s="8" t="s">
        <v>475</v>
      </c>
      <c r="L13" s="13">
        <v>0</v>
      </c>
      <c r="M13" s="8"/>
      <c r="N13" s="8"/>
    </row>
    <row r="14" spans="1:14" ht="51" customHeight="1">
      <c r="A14" s="8" t="s">
        <v>501</v>
      </c>
      <c r="B14" s="8" t="s">
        <v>64</v>
      </c>
      <c r="C14" s="8" t="s">
        <v>51</v>
      </c>
      <c r="D14" s="8" t="s">
        <v>59</v>
      </c>
      <c r="E14" s="8" t="s">
        <v>502</v>
      </c>
      <c r="F14" s="3" t="s">
        <v>66</v>
      </c>
      <c r="G14" s="8" t="s">
        <v>55</v>
      </c>
      <c r="H14" s="8">
        <v>1</v>
      </c>
      <c r="I14" s="8" t="s">
        <v>498</v>
      </c>
      <c r="J14" s="3" t="s">
        <v>503</v>
      </c>
      <c r="K14" s="8" t="s">
        <v>475</v>
      </c>
      <c r="L14" s="13">
        <v>0</v>
      </c>
      <c r="M14" s="8"/>
      <c r="N14" s="8"/>
    </row>
    <row r="15" spans="1:14" ht="51" customHeight="1">
      <c r="A15" s="8" t="s">
        <v>504</v>
      </c>
      <c r="B15" s="8" t="s">
        <v>64</v>
      </c>
      <c r="C15" s="8" t="s">
        <v>51</v>
      </c>
      <c r="D15" s="8" t="s">
        <v>59</v>
      </c>
      <c r="E15" s="8" t="s">
        <v>505</v>
      </c>
      <c r="F15" s="3" t="s">
        <v>66</v>
      </c>
      <c r="G15" s="8" t="s">
        <v>55</v>
      </c>
      <c r="H15" s="8">
        <v>1</v>
      </c>
      <c r="I15" s="8" t="s">
        <v>501</v>
      </c>
      <c r="J15" s="3" t="s">
        <v>506</v>
      </c>
      <c r="K15" s="8" t="s">
        <v>475</v>
      </c>
      <c r="L15" s="13">
        <v>0</v>
      </c>
      <c r="M15" s="8"/>
      <c r="N15" s="8"/>
    </row>
    <row r="16" spans="1:14" ht="51" customHeight="1">
      <c r="A16" s="8" t="s">
        <v>507</v>
      </c>
      <c r="B16" s="8" t="s">
        <v>64</v>
      </c>
      <c r="C16" s="8" t="s">
        <v>51</v>
      </c>
      <c r="D16" s="8" t="s">
        <v>59</v>
      </c>
      <c r="E16" s="8" t="s">
        <v>508</v>
      </c>
      <c r="F16" s="3" t="s">
        <v>66</v>
      </c>
      <c r="G16" s="8" t="s">
        <v>55</v>
      </c>
      <c r="H16" s="8">
        <v>2</v>
      </c>
      <c r="I16" s="8" t="s">
        <v>504</v>
      </c>
      <c r="J16" s="3" t="s">
        <v>68</v>
      </c>
      <c r="K16" s="8" t="s">
        <v>475</v>
      </c>
      <c r="L16" s="13">
        <v>0</v>
      </c>
      <c r="M16" s="8"/>
      <c r="N16" s="8"/>
    </row>
    <row r="17" spans="1:14" ht="51" customHeight="1">
      <c r="A17" s="8" t="s">
        <v>509</v>
      </c>
      <c r="B17" s="8" t="s">
        <v>64</v>
      </c>
      <c r="C17" s="8" t="s">
        <v>51</v>
      </c>
      <c r="D17" s="8" t="s">
        <v>59</v>
      </c>
      <c r="E17" s="8" t="s">
        <v>510</v>
      </c>
      <c r="F17" s="3" t="s">
        <v>66</v>
      </c>
      <c r="G17" s="8" t="s">
        <v>55</v>
      </c>
      <c r="H17" s="8">
        <v>1</v>
      </c>
      <c r="I17" s="8" t="s">
        <v>507</v>
      </c>
      <c r="J17" s="3" t="s">
        <v>511</v>
      </c>
      <c r="K17" s="8" t="s">
        <v>475</v>
      </c>
      <c r="L17" s="13">
        <v>0</v>
      </c>
      <c r="M17" s="8"/>
      <c r="N17" s="8"/>
    </row>
    <row r="18" spans="1:14" ht="51" customHeight="1">
      <c r="A18" s="8" t="s">
        <v>512</v>
      </c>
      <c r="B18" s="8" t="s">
        <v>64</v>
      </c>
      <c r="C18" s="8" t="s">
        <v>51</v>
      </c>
      <c r="D18" s="8" t="s">
        <v>59</v>
      </c>
      <c r="E18" s="8" t="s">
        <v>513</v>
      </c>
      <c r="F18" s="3" t="s">
        <v>66</v>
      </c>
      <c r="G18" s="8" t="s">
        <v>55</v>
      </c>
      <c r="H18" s="8">
        <v>0.5</v>
      </c>
      <c r="I18" s="8" t="s">
        <v>509</v>
      </c>
      <c r="J18" s="3" t="s">
        <v>514</v>
      </c>
      <c r="K18" s="8" t="s">
        <v>475</v>
      </c>
      <c r="L18" s="13">
        <v>0</v>
      </c>
      <c r="M18" s="8"/>
      <c r="N18" s="8"/>
    </row>
    <row r="19" spans="1:14" ht="51" customHeight="1">
      <c r="A19" s="8" t="s">
        <v>515</v>
      </c>
      <c r="B19" s="8" t="s">
        <v>69</v>
      </c>
      <c r="C19" s="8" t="s">
        <v>51</v>
      </c>
      <c r="D19" s="8" t="s">
        <v>59</v>
      </c>
      <c r="E19" s="8" t="s">
        <v>516</v>
      </c>
      <c r="F19" s="3" t="s">
        <v>71</v>
      </c>
      <c r="G19" s="8" t="s">
        <v>55</v>
      </c>
      <c r="H19" s="8">
        <v>1</v>
      </c>
      <c r="I19" s="8" t="s">
        <v>512</v>
      </c>
      <c r="J19" s="3" t="s">
        <v>517</v>
      </c>
      <c r="K19" s="8" t="s">
        <v>475</v>
      </c>
      <c r="L19" s="13">
        <v>0</v>
      </c>
      <c r="M19" s="8"/>
      <c r="N19" s="8"/>
    </row>
    <row r="20" spans="1:14" ht="51" customHeight="1">
      <c r="A20" s="8" t="s">
        <v>518</v>
      </c>
      <c r="B20" s="8" t="s">
        <v>69</v>
      </c>
      <c r="C20" s="8" t="s">
        <v>51</v>
      </c>
      <c r="D20" s="8" t="s">
        <v>59</v>
      </c>
      <c r="E20" s="8" t="s">
        <v>519</v>
      </c>
      <c r="F20" s="3" t="s">
        <v>71</v>
      </c>
      <c r="G20" s="8" t="s">
        <v>55</v>
      </c>
      <c r="H20" s="8">
        <v>0.5</v>
      </c>
      <c r="I20" s="8" t="s">
        <v>515</v>
      </c>
      <c r="J20" s="3" t="s">
        <v>520</v>
      </c>
      <c r="K20" s="8" t="s">
        <v>475</v>
      </c>
      <c r="L20" s="13">
        <v>0</v>
      </c>
      <c r="M20" s="8"/>
      <c r="N20" s="8"/>
    </row>
    <row r="21" spans="1:14" ht="51" customHeight="1">
      <c r="A21" s="8" t="s">
        <v>521</v>
      </c>
      <c r="B21" s="8" t="s">
        <v>69</v>
      </c>
      <c r="C21" s="8" t="s">
        <v>51</v>
      </c>
      <c r="D21" s="8" t="s">
        <v>59</v>
      </c>
      <c r="E21" s="8" t="s">
        <v>522</v>
      </c>
      <c r="F21" s="3" t="s">
        <v>71</v>
      </c>
      <c r="G21" s="8" t="s">
        <v>55</v>
      </c>
      <c r="H21" s="8">
        <v>1</v>
      </c>
      <c r="I21" s="8" t="s">
        <v>518</v>
      </c>
      <c r="J21" s="3" t="s">
        <v>73</v>
      </c>
      <c r="K21" s="8" t="s">
        <v>475</v>
      </c>
      <c r="L21" s="13">
        <v>0</v>
      </c>
      <c r="M21" s="8"/>
      <c r="N21" s="8"/>
    </row>
    <row r="22" spans="1:14" ht="51" customHeight="1">
      <c r="A22" s="8" t="s">
        <v>523</v>
      </c>
      <c r="B22" s="8" t="s">
        <v>69</v>
      </c>
      <c r="C22" s="8" t="s">
        <v>51</v>
      </c>
      <c r="D22" s="8" t="s">
        <v>59</v>
      </c>
      <c r="E22" s="8" t="s">
        <v>524</v>
      </c>
      <c r="F22" s="3" t="s">
        <v>71</v>
      </c>
      <c r="G22" s="8" t="s">
        <v>55</v>
      </c>
      <c r="H22" s="8">
        <v>1</v>
      </c>
      <c r="I22" s="8" t="s">
        <v>521</v>
      </c>
      <c r="J22" s="3" t="s">
        <v>525</v>
      </c>
      <c r="K22" s="8" t="s">
        <v>475</v>
      </c>
      <c r="L22" s="13">
        <v>0</v>
      </c>
      <c r="M22" s="8"/>
      <c r="N22" s="8"/>
    </row>
    <row r="23" spans="1:14" ht="51" customHeight="1">
      <c r="A23" s="8" t="s">
        <v>526</v>
      </c>
      <c r="B23" s="8" t="s">
        <v>69</v>
      </c>
      <c r="C23" s="8" t="s">
        <v>51</v>
      </c>
      <c r="D23" s="8" t="s">
        <v>59</v>
      </c>
      <c r="E23" s="8" t="s">
        <v>527</v>
      </c>
      <c r="F23" s="3" t="s">
        <v>71</v>
      </c>
      <c r="G23" s="8" t="s">
        <v>55</v>
      </c>
      <c r="H23" s="8">
        <v>0.5</v>
      </c>
      <c r="I23" s="8" t="s">
        <v>523</v>
      </c>
      <c r="J23" s="3" t="s">
        <v>528</v>
      </c>
      <c r="K23" s="8" t="s">
        <v>475</v>
      </c>
      <c r="L23" s="13">
        <v>0</v>
      </c>
      <c r="M23" s="8"/>
      <c r="N23" s="8"/>
    </row>
    <row r="24" spans="1:14" ht="51" customHeight="1">
      <c r="A24" s="8" t="s">
        <v>529</v>
      </c>
      <c r="B24" s="8" t="s">
        <v>74</v>
      </c>
      <c r="C24" s="8" t="s">
        <v>51</v>
      </c>
      <c r="D24" s="8" t="s">
        <v>75</v>
      </c>
      <c r="E24" s="8" t="s">
        <v>530</v>
      </c>
      <c r="F24" s="3" t="s">
        <v>77</v>
      </c>
      <c r="G24" s="8" t="s">
        <v>55</v>
      </c>
      <c r="H24" s="8">
        <v>0.5</v>
      </c>
      <c r="I24" s="8" t="s">
        <v>526</v>
      </c>
      <c r="J24" s="3" t="s">
        <v>531</v>
      </c>
      <c r="K24" s="8" t="s">
        <v>475</v>
      </c>
      <c r="L24" s="13">
        <v>0</v>
      </c>
      <c r="M24" s="8"/>
      <c r="N24" s="8"/>
    </row>
    <row r="25" spans="1:14" ht="51" customHeight="1">
      <c r="A25" s="8" t="s">
        <v>532</v>
      </c>
      <c r="B25" s="8" t="s">
        <v>74</v>
      </c>
      <c r="C25" s="8" t="s">
        <v>51</v>
      </c>
      <c r="D25" s="8" t="s">
        <v>75</v>
      </c>
      <c r="E25" s="8" t="s">
        <v>533</v>
      </c>
      <c r="F25" s="3" t="s">
        <v>77</v>
      </c>
      <c r="G25" s="8" t="s">
        <v>55</v>
      </c>
      <c r="H25" s="8">
        <v>1</v>
      </c>
      <c r="I25" s="8" t="s">
        <v>529</v>
      </c>
      <c r="J25" s="3" t="s">
        <v>534</v>
      </c>
      <c r="K25" s="8" t="s">
        <v>475</v>
      </c>
      <c r="L25" s="13">
        <v>0</v>
      </c>
      <c r="M25" s="8"/>
      <c r="N25" s="8"/>
    </row>
    <row r="26" spans="1:14" ht="51" customHeight="1">
      <c r="A26" s="8" t="s">
        <v>535</v>
      </c>
      <c r="B26" s="8" t="s">
        <v>74</v>
      </c>
      <c r="C26" s="8" t="s">
        <v>51</v>
      </c>
      <c r="D26" s="8" t="s">
        <v>75</v>
      </c>
      <c r="E26" s="8" t="s">
        <v>536</v>
      </c>
      <c r="F26" s="3" t="s">
        <v>77</v>
      </c>
      <c r="G26" s="8" t="s">
        <v>55</v>
      </c>
      <c r="H26" s="8">
        <v>2</v>
      </c>
      <c r="I26" s="8" t="s">
        <v>532</v>
      </c>
      <c r="J26" s="3" t="s">
        <v>79</v>
      </c>
      <c r="K26" s="8" t="s">
        <v>475</v>
      </c>
      <c r="L26" s="13">
        <v>0</v>
      </c>
      <c r="M26" s="8"/>
      <c r="N26" s="8"/>
    </row>
    <row r="27" spans="1:14" ht="51" customHeight="1">
      <c r="A27" s="8" t="s">
        <v>537</v>
      </c>
      <c r="B27" s="8" t="s">
        <v>74</v>
      </c>
      <c r="C27" s="8" t="s">
        <v>51</v>
      </c>
      <c r="D27" s="8" t="s">
        <v>75</v>
      </c>
      <c r="E27" s="8" t="s">
        <v>538</v>
      </c>
      <c r="F27" s="3" t="s">
        <v>77</v>
      </c>
      <c r="G27" s="8" t="s">
        <v>55</v>
      </c>
      <c r="H27" s="8">
        <v>1</v>
      </c>
      <c r="I27" s="8" t="s">
        <v>535</v>
      </c>
      <c r="J27" s="3" t="s">
        <v>539</v>
      </c>
      <c r="K27" s="8" t="s">
        <v>475</v>
      </c>
      <c r="L27" s="13">
        <v>0</v>
      </c>
      <c r="M27" s="8"/>
      <c r="N27" s="8"/>
    </row>
    <row r="28" spans="1:14" ht="51" customHeight="1">
      <c r="A28" s="8" t="s">
        <v>540</v>
      </c>
      <c r="B28" s="8" t="s">
        <v>74</v>
      </c>
      <c r="C28" s="8" t="s">
        <v>51</v>
      </c>
      <c r="D28" s="8" t="s">
        <v>75</v>
      </c>
      <c r="E28" s="8" t="s">
        <v>541</v>
      </c>
      <c r="F28" s="3" t="s">
        <v>77</v>
      </c>
      <c r="G28" s="8" t="s">
        <v>55</v>
      </c>
      <c r="H28" s="8">
        <v>0.5</v>
      </c>
      <c r="I28" s="8" t="s">
        <v>537</v>
      </c>
      <c r="J28" s="3" t="s">
        <v>542</v>
      </c>
      <c r="K28" s="8" t="s">
        <v>475</v>
      </c>
      <c r="L28" s="13">
        <v>0</v>
      </c>
      <c r="M28" s="8"/>
      <c r="N28" s="8"/>
    </row>
    <row r="29" spans="1:14" ht="51" customHeight="1">
      <c r="A29" s="8" t="s">
        <v>543</v>
      </c>
      <c r="B29" s="8" t="s">
        <v>80</v>
      </c>
      <c r="C29" s="8" t="s">
        <v>51</v>
      </c>
      <c r="D29" s="8" t="s">
        <v>75</v>
      </c>
      <c r="E29" s="8" t="s">
        <v>544</v>
      </c>
      <c r="F29" s="3" t="s">
        <v>82</v>
      </c>
      <c r="G29" s="8" t="s">
        <v>55</v>
      </c>
      <c r="H29" s="8">
        <v>0.5</v>
      </c>
      <c r="I29" s="8" t="s">
        <v>540</v>
      </c>
      <c r="J29" s="3" t="s">
        <v>545</v>
      </c>
      <c r="K29" s="8" t="s">
        <v>475</v>
      </c>
      <c r="L29" s="13">
        <v>0</v>
      </c>
      <c r="M29" s="8"/>
      <c r="N29" s="8"/>
    </row>
    <row r="30" spans="1:14" ht="51" customHeight="1">
      <c r="A30" s="8" t="s">
        <v>546</v>
      </c>
      <c r="B30" s="8" t="s">
        <v>80</v>
      </c>
      <c r="C30" s="8" t="s">
        <v>51</v>
      </c>
      <c r="D30" s="8" t="s">
        <v>75</v>
      </c>
      <c r="E30" s="8" t="s">
        <v>547</v>
      </c>
      <c r="F30" s="3" t="s">
        <v>82</v>
      </c>
      <c r="G30" s="8" t="s">
        <v>55</v>
      </c>
      <c r="H30" s="8">
        <v>1</v>
      </c>
      <c r="I30" s="8" t="s">
        <v>543</v>
      </c>
      <c r="J30" s="3" t="s">
        <v>548</v>
      </c>
      <c r="K30" s="8" t="s">
        <v>475</v>
      </c>
      <c r="L30" s="13">
        <v>0</v>
      </c>
      <c r="M30" s="8"/>
      <c r="N30" s="8"/>
    </row>
    <row r="31" spans="1:14" ht="51" customHeight="1">
      <c r="A31" s="8" t="s">
        <v>549</v>
      </c>
      <c r="B31" s="8" t="s">
        <v>80</v>
      </c>
      <c r="C31" s="8" t="s">
        <v>51</v>
      </c>
      <c r="D31" s="8" t="s">
        <v>75</v>
      </c>
      <c r="E31" s="8" t="s">
        <v>550</v>
      </c>
      <c r="F31" s="3" t="s">
        <v>82</v>
      </c>
      <c r="G31" s="8" t="s">
        <v>55</v>
      </c>
      <c r="H31" s="8">
        <v>2</v>
      </c>
      <c r="I31" s="8" t="s">
        <v>546</v>
      </c>
      <c r="J31" s="3" t="s">
        <v>84</v>
      </c>
      <c r="K31" s="8" t="s">
        <v>475</v>
      </c>
      <c r="L31" s="13">
        <v>0</v>
      </c>
      <c r="M31" s="8"/>
      <c r="N31" s="8"/>
    </row>
    <row r="32" spans="1:14" ht="51" customHeight="1">
      <c r="A32" s="8" t="s">
        <v>551</v>
      </c>
      <c r="B32" s="8" t="s">
        <v>80</v>
      </c>
      <c r="C32" s="8" t="s">
        <v>51</v>
      </c>
      <c r="D32" s="8" t="s">
        <v>75</v>
      </c>
      <c r="E32" s="8" t="s">
        <v>552</v>
      </c>
      <c r="F32" s="3" t="s">
        <v>82</v>
      </c>
      <c r="G32" s="8" t="s">
        <v>55</v>
      </c>
      <c r="H32" s="8">
        <v>1</v>
      </c>
      <c r="I32" s="8" t="s">
        <v>549</v>
      </c>
      <c r="J32" s="3" t="s">
        <v>553</v>
      </c>
      <c r="K32" s="8" t="s">
        <v>475</v>
      </c>
      <c r="L32" s="13">
        <v>0</v>
      </c>
      <c r="M32" s="8"/>
      <c r="N32" s="8"/>
    </row>
    <row r="33" spans="1:14" ht="51" customHeight="1">
      <c r="A33" s="8" t="s">
        <v>554</v>
      </c>
      <c r="B33" s="8" t="s">
        <v>80</v>
      </c>
      <c r="C33" s="8" t="s">
        <v>51</v>
      </c>
      <c r="D33" s="8" t="s">
        <v>75</v>
      </c>
      <c r="E33" s="8" t="s">
        <v>555</v>
      </c>
      <c r="F33" s="3" t="s">
        <v>82</v>
      </c>
      <c r="G33" s="8" t="s">
        <v>55</v>
      </c>
      <c r="H33" s="8">
        <v>0.5</v>
      </c>
      <c r="I33" s="8" t="s">
        <v>551</v>
      </c>
      <c r="J33" s="3" t="s">
        <v>556</v>
      </c>
      <c r="K33" s="8" t="s">
        <v>475</v>
      </c>
      <c r="L33" s="13">
        <v>0</v>
      </c>
      <c r="M33" s="8"/>
      <c r="N33" s="8"/>
    </row>
    <row r="34" spans="1:14" ht="51" customHeight="1">
      <c r="A34" s="8" t="s">
        <v>557</v>
      </c>
      <c r="B34" s="8" t="s">
        <v>85</v>
      </c>
      <c r="C34" s="8" t="s">
        <v>51</v>
      </c>
      <c r="D34" s="8" t="s">
        <v>86</v>
      </c>
      <c r="E34" s="8" t="s">
        <v>558</v>
      </c>
      <c r="F34" s="3" t="s">
        <v>88</v>
      </c>
      <c r="G34" s="8" t="s">
        <v>89</v>
      </c>
      <c r="H34" s="8">
        <v>1</v>
      </c>
      <c r="I34" s="8" t="s">
        <v>554</v>
      </c>
      <c r="J34" s="3" t="s">
        <v>559</v>
      </c>
      <c r="K34" s="8" t="s">
        <v>475</v>
      </c>
      <c r="L34" s="13">
        <v>0</v>
      </c>
      <c r="M34" s="8"/>
      <c r="N34" s="8"/>
    </row>
    <row r="35" spans="1:14" ht="51" customHeight="1">
      <c r="A35" s="8" t="s">
        <v>560</v>
      </c>
      <c r="B35" s="8" t="s">
        <v>85</v>
      </c>
      <c r="C35" s="8" t="s">
        <v>51</v>
      </c>
      <c r="D35" s="8" t="s">
        <v>86</v>
      </c>
      <c r="E35" s="8" t="s">
        <v>561</v>
      </c>
      <c r="F35" s="3" t="s">
        <v>88</v>
      </c>
      <c r="G35" s="8" t="s">
        <v>89</v>
      </c>
      <c r="H35" s="8">
        <v>0.5</v>
      </c>
      <c r="I35" s="8" t="s">
        <v>557</v>
      </c>
      <c r="J35" s="3" t="s">
        <v>562</v>
      </c>
      <c r="K35" s="8" t="s">
        <v>475</v>
      </c>
      <c r="L35" s="13">
        <v>0</v>
      </c>
      <c r="M35" s="8"/>
      <c r="N35" s="8"/>
    </row>
    <row r="36" spans="1:14" ht="51" customHeight="1">
      <c r="A36" s="8" t="s">
        <v>563</v>
      </c>
      <c r="B36" s="8" t="s">
        <v>85</v>
      </c>
      <c r="C36" s="8" t="s">
        <v>51</v>
      </c>
      <c r="D36" s="8" t="s">
        <v>86</v>
      </c>
      <c r="E36" s="8" t="s">
        <v>564</v>
      </c>
      <c r="F36" s="3" t="s">
        <v>88</v>
      </c>
      <c r="G36" s="8" t="s">
        <v>89</v>
      </c>
      <c r="H36" s="8">
        <v>1.5</v>
      </c>
      <c r="I36" s="8" t="s">
        <v>560</v>
      </c>
      <c r="J36" s="3" t="s">
        <v>91</v>
      </c>
      <c r="K36" s="8" t="s">
        <v>475</v>
      </c>
      <c r="L36" s="13">
        <v>0</v>
      </c>
      <c r="M36" s="8"/>
      <c r="N36" s="8"/>
    </row>
    <row r="37" spans="1:14" ht="51" customHeight="1">
      <c r="A37" s="8" t="s">
        <v>565</v>
      </c>
      <c r="B37" s="8" t="s">
        <v>85</v>
      </c>
      <c r="C37" s="8" t="s">
        <v>51</v>
      </c>
      <c r="D37" s="8" t="s">
        <v>86</v>
      </c>
      <c r="E37" s="8" t="s">
        <v>566</v>
      </c>
      <c r="F37" s="3" t="s">
        <v>88</v>
      </c>
      <c r="G37" s="8" t="s">
        <v>89</v>
      </c>
      <c r="H37" s="8">
        <v>1</v>
      </c>
      <c r="I37" s="8" t="s">
        <v>563</v>
      </c>
      <c r="J37" s="3" t="s">
        <v>567</v>
      </c>
      <c r="K37" s="8" t="s">
        <v>475</v>
      </c>
      <c r="L37" s="13">
        <v>0</v>
      </c>
      <c r="M37" s="8"/>
      <c r="N37" s="8"/>
    </row>
    <row r="38" spans="1:14" ht="51" customHeight="1">
      <c r="A38" s="8" t="s">
        <v>568</v>
      </c>
      <c r="B38" s="8" t="s">
        <v>85</v>
      </c>
      <c r="C38" s="8" t="s">
        <v>51</v>
      </c>
      <c r="D38" s="8" t="s">
        <v>86</v>
      </c>
      <c r="E38" s="8" t="s">
        <v>569</v>
      </c>
      <c r="F38" s="3" t="s">
        <v>88</v>
      </c>
      <c r="G38" s="8" t="s">
        <v>89</v>
      </c>
      <c r="H38" s="8">
        <v>0.5</v>
      </c>
      <c r="I38" s="8" t="s">
        <v>565</v>
      </c>
      <c r="J38" s="3" t="s">
        <v>570</v>
      </c>
      <c r="K38" s="8" t="s">
        <v>475</v>
      </c>
      <c r="L38" s="13">
        <v>0</v>
      </c>
      <c r="M38" s="8"/>
      <c r="N38" s="8"/>
    </row>
    <row r="39" spans="1:14" ht="51" customHeight="1">
      <c r="A39" s="8" t="s">
        <v>571</v>
      </c>
      <c r="B39" s="8" t="s">
        <v>92</v>
      </c>
      <c r="C39" s="8" t="s">
        <v>51</v>
      </c>
      <c r="D39" s="8" t="s">
        <v>93</v>
      </c>
      <c r="E39" s="8" t="s">
        <v>572</v>
      </c>
      <c r="F39" s="3" t="s">
        <v>95</v>
      </c>
      <c r="G39" s="8" t="s">
        <v>55</v>
      </c>
      <c r="H39" s="8">
        <v>0.5</v>
      </c>
      <c r="I39" s="8" t="s">
        <v>568</v>
      </c>
      <c r="J39" s="3" t="s">
        <v>573</v>
      </c>
      <c r="K39" s="8" t="s">
        <v>475</v>
      </c>
      <c r="L39" s="13">
        <v>0</v>
      </c>
      <c r="M39" s="8"/>
      <c r="N39" s="8"/>
    </row>
    <row r="40" spans="1:14" ht="51" customHeight="1">
      <c r="A40" s="8" t="s">
        <v>574</v>
      </c>
      <c r="B40" s="8" t="s">
        <v>92</v>
      </c>
      <c r="C40" s="8" t="s">
        <v>51</v>
      </c>
      <c r="D40" s="8" t="s">
        <v>93</v>
      </c>
      <c r="E40" s="8" t="s">
        <v>575</v>
      </c>
      <c r="F40" s="3" t="s">
        <v>95</v>
      </c>
      <c r="G40" s="8" t="s">
        <v>55</v>
      </c>
      <c r="H40" s="8">
        <v>0.5</v>
      </c>
      <c r="I40" s="8" t="s">
        <v>571</v>
      </c>
      <c r="J40" s="3" t="s">
        <v>576</v>
      </c>
      <c r="K40" s="8" t="s">
        <v>475</v>
      </c>
      <c r="L40" s="13">
        <v>0</v>
      </c>
      <c r="M40" s="8"/>
      <c r="N40" s="8"/>
    </row>
    <row r="41" spans="1:14" ht="51" customHeight="1">
      <c r="A41" s="8" t="s">
        <v>577</v>
      </c>
      <c r="B41" s="8" t="s">
        <v>92</v>
      </c>
      <c r="C41" s="8" t="s">
        <v>51</v>
      </c>
      <c r="D41" s="8" t="s">
        <v>93</v>
      </c>
      <c r="E41" s="8" t="s">
        <v>578</v>
      </c>
      <c r="F41" s="3" t="s">
        <v>95</v>
      </c>
      <c r="G41" s="8" t="s">
        <v>55</v>
      </c>
      <c r="H41" s="8">
        <v>2</v>
      </c>
      <c r="I41" s="8" t="s">
        <v>574</v>
      </c>
      <c r="J41" s="3" t="s">
        <v>97</v>
      </c>
      <c r="K41" s="8" t="s">
        <v>475</v>
      </c>
      <c r="L41" s="13">
        <v>0</v>
      </c>
      <c r="M41" s="8"/>
      <c r="N41" s="8"/>
    </row>
    <row r="42" spans="1:14" ht="51" customHeight="1">
      <c r="A42" s="8" t="s">
        <v>579</v>
      </c>
      <c r="B42" s="8" t="s">
        <v>92</v>
      </c>
      <c r="C42" s="8" t="s">
        <v>51</v>
      </c>
      <c r="D42" s="8" t="s">
        <v>93</v>
      </c>
      <c r="E42" s="8" t="s">
        <v>580</v>
      </c>
      <c r="F42" s="3" t="s">
        <v>95</v>
      </c>
      <c r="G42" s="8" t="s">
        <v>55</v>
      </c>
      <c r="H42" s="8">
        <v>1</v>
      </c>
      <c r="I42" s="8" t="s">
        <v>577</v>
      </c>
      <c r="J42" s="3" t="s">
        <v>581</v>
      </c>
      <c r="K42" s="8" t="s">
        <v>475</v>
      </c>
      <c r="L42" s="13">
        <v>0</v>
      </c>
      <c r="M42" s="8"/>
      <c r="N42" s="8"/>
    </row>
    <row r="43" spans="1:14" ht="51" customHeight="1">
      <c r="A43" s="8" t="s">
        <v>582</v>
      </c>
      <c r="B43" s="8" t="s">
        <v>92</v>
      </c>
      <c r="C43" s="8" t="s">
        <v>51</v>
      </c>
      <c r="D43" s="8" t="s">
        <v>93</v>
      </c>
      <c r="E43" s="8" t="s">
        <v>583</v>
      </c>
      <c r="F43" s="3" t="s">
        <v>95</v>
      </c>
      <c r="G43" s="8" t="s">
        <v>55</v>
      </c>
      <c r="H43" s="8">
        <v>0.5</v>
      </c>
      <c r="I43" s="8" t="s">
        <v>579</v>
      </c>
      <c r="J43" s="3" t="s">
        <v>584</v>
      </c>
      <c r="K43" s="8" t="s">
        <v>475</v>
      </c>
      <c r="L43" s="13">
        <v>0</v>
      </c>
      <c r="M43" s="8"/>
      <c r="N43" s="8"/>
    </row>
    <row r="44" spans="1:14" ht="51" customHeight="1">
      <c r="A44" s="8" t="s">
        <v>585</v>
      </c>
      <c r="B44" s="8" t="s">
        <v>98</v>
      </c>
      <c r="C44" s="8" t="s">
        <v>51</v>
      </c>
      <c r="D44" s="8" t="s">
        <v>59</v>
      </c>
      <c r="E44" s="8" t="s">
        <v>586</v>
      </c>
      <c r="F44" s="3" t="s">
        <v>100</v>
      </c>
      <c r="G44" s="8" t="s">
        <v>55</v>
      </c>
      <c r="H44" s="8">
        <v>1</v>
      </c>
      <c r="I44" s="8" t="s">
        <v>582</v>
      </c>
      <c r="J44" s="3" t="s">
        <v>587</v>
      </c>
      <c r="K44" s="8" t="s">
        <v>475</v>
      </c>
      <c r="L44" s="13">
        <v>0</v>
      </c>
      <c r="M44" s="8"/>
      <c r="N44" s="8"/>
    </row>
    <row r="45" spans="1:14" ht="51" customHeight="1">
      <c r="A45" s="8" t="s">
        <v>588</v>
      </c>
      <c r="B45" s="8" t="s">
        <v>98</v>
      </c>
      <c r="C45" s="8" t="s">
        <v>51</v>
      </c>
      <c r="D45" s="8" t="s">
        <v>59</v>
      </c>
      <c r="E45" s="8" t="s">
        <v>589</v>
      </c>
      <c r="F45" s="3" t="s">
        <v>100</v>
      </c>
      <c r="G45" s="8" t="s">
        <v>55</v>
      </c>
      <c r="H45" s="8">
        <v>0.5</v>
      </c>
      <c r="I45" s="8" t="s">
        <v>585</v>
      </c>
      <c r="J45" s="3" t="s">
        <v>590</v>
      </c>
      <c r="K45" s="8" t="s">
        <v>475</v>
      </c>
      <c r="L45" s="13">
        <v>0</v>
      </c>
      <c r="M45" s="8"/>
      <c r="N45" s="8"/>
    </row>
    <row r="46" spans="1:14" ht="51" customHeight="1">
      <c r="A46" s="8" t="s">
        <v>591</v>
      </c>
      <c r="B46" s="8" t="s">
        <v>98</v>
      </c>
      <c r="C46" s="8" t="s">
        <v>51</v>
      </c>
      <c r="D46" s="8" t="s">
        <v>59</v>
      </c>
      <c r="E46" s="8" t="s">
        <v>592</v>
      </c>
      <c r="F46" s="3" t="s">
        <v>100</v>
      </c>
      <c r="G46" s="8" t="s">
        <v>55</v>
      </c>
      <c r="H46" s="8">
        <v>1</v>
      </c>
      <c r="I46" s="8" t="s">
        <v>588</v>
      </c>
      <c r="J46" s="3" t="s">
        <v>102</v>
      </c>
      <c r="K46" s="8" t="s">
        <v>475</v>
      </c>
      <c r="L46" s="13">
        <v>0</v>
      </c>
      <c r="M46" s="8"/>
      <c r="N46" s="8"/>
    </row>
    <row r="47" spans="1:14" ht="51" customHeight="1">
      <c r="A47" s="8" t="s">
        <v>593</v>
      </c>
      <c r="B47" s="8" t="s">
        <v>98</v>
      </c>
      <c r="C47" s="8" t="s">
        <v>51</v>
      </c>
      <c r="D47" s="8" t="s">
        <v>59</v>
      </c>
      <c r="E47" s="8" t="s">
        <v>594</v>
      </c>
      <c r="F47" s="3" t="s">
        <v>100</v>
      </c>
      <c r="G47" s="8" t="s">
        <v>55</v>
      </c>
      <c r="H47" s="8">
        <v>1</v>
      </c>
      <c r="I47" s="8" t="s">
        <v>591</v>
      </c>
      <c r="J47" s="3" t="s">
        <v>595</v>
      </c>
      <c r="K47" s="8" t="s">
        <v>475</v>
      </c>
      <c r="L47" s="13">
        <v>0</v>
      </c>
      <c r="M47" s="8"/>
      <c r="N47" s="8"/>
    </row>
    <row r="48" spans="1:14" ht="51" customHeight="1">
      <c r="A48" s="8" t="s">
        <v>596</v>
      </c>
      <c r="B48" s="8" t="s">
        <v>98</v>
      </c>
      <c r="C48" s="8" t="s">
        <v>51</v>
      </c>
      <c r="D48" s="8" t="s">
        <v>59</v>
      </c>
      <c r="E48" s="8" t="s">
        <v>597</v>
      </c>
      <c r="F48" s="3" t="s">
        <v>100</v>
      </c>
      <c r="G48" s="8" t="s">
        <v>55</v>
      </c>
      <c r="H48" s="8">
        <v>0.5</v>
      </c>
      <c r="I48" s="8" t="s">
        <v>593</v>
      </c>
      <c r="J48" s="3" t="s">
        <v>598</v>
      </c>
      <c r="K48" s="8" t="s">
        <v>475</v>
      </c>
      <c r="L48" s="13">
        <v>0</v>
      </c>
      <c r="M48" s="8"/>
      <c r="N48" s="8"/>
    </row>
    <row r="49" spans="1:14" ht="51" customHeight="1">
      <c r="A49" s="8" t="s">
        <v>599</v>
      </c>
      <c r="B49" s="8" t="s">
        <v>103</v>
      </c>
      <c r="C49" s="8" t="s">
        <v>51</v>
      </c>
      <c r="D49" s="8" t="s">
        <v>104</v>
      </c>
      <c r="E49" s="8" t="s">
        <v>600</v>
      </c>
      <c r="F49" s="3" t="s">
        <v>106</v>
      </c>
      <c r="G49" s="8" t="s">
        <v>89</v>
      </c>
      <c r="H49" s="8">
        <v>0.5</v>
      </c>
      <c r="I49" s="8" t="s">
        <v>596</v>
      </c>
      <c r="J49" s="3" t="s">
        <v>601</v>
      </c>
      <c r="K49" s="8" t="s">
        <v>475</v>
      </c>
      <c r="L49" s="13">
        <v>0</v>
      </c>
      <c r="M49" s="8"/>
      <c r="N49" s="8"/>
    </row>
    <row r="50" spans="1:14" ht="51" customHeight="1">
      <c r="A50" s="8" t="s">
        <v>602</v>
      </c>
      <c r="B50" s="8" t="s">
        <v>103</v>
      </c>
      <c r="C50" s="8" t="s">
        <v>51</v>
      </c>
      <c r="D50" s="8" t="s">
        <v>104</v>
      </c>
      <c r="E50" s="8" t="s">
        <v>603</v>
      </c>
      <c r="F50" s="3" t="s">
        <v>106</v>
      </c>
      <c r="G50" s="8" t="s">
        <v>89</v>
      </c>
      <c r="H50" s="8">
        <v>1</v>
      </c>
      <c r="I50" s="8" t="s">
        <v>599</v>
      </c>
      <c r="J50" s="3" t="s">
        <v>604</v>
      </c>
      <c r="K50" s="8" t="s">
        <v>475</v>
      </c>
      <c r="L50" s="13">
        <v>0</v>
      </c>
      <c r="M50" s="8"/>
      <c r="N50" s="8"/>
    </row>
    <row r="51" spans="1:14" ht="51" customHeight="1">
      <c r="A51" s="8" t="s">
        <v>605</v>
      </c>
      <c r="B51" s="8" t="s">
        <v>103</v>
      </c>
      <c r="C51" s="8" t="s">
        <v>51</v>
      </c>
      <c r="D51" s="8" t="s">
        <v>104</v>
      </c>
      <c r="E51" s="8" t="s">
        <v>606</v>
      </c>
      <c r="F51" s="3" t="s">
        <v>106</v>
      </c>
      <c r="G51" s="8" t="s">
        <v>89</v>
      </c>
      <c r="H51" s="8">
        <v>1</v>
      </c>
      <c r="I51" s="8" t="s">
        <v>602</v>
      </c>
      <c r="J51" s="3" t="s">
        <v>108</v>
      </c>
      <c r="K51" s="8" t="s">
        <v>475</v>
      </c>
      <c r="L51" s="13">
        <v>0</v>
      </c>
      <c r="M51" s="8"/>
      <c r="N51" s="8"/>
    </row>
    <row r="52" spans="1:14" ht="51" customHeight="1">
      <c r="A52" s="8" t="s">
        <v>607</v>
      </c>
      <c r="B52" s="8" t="s">
        <v>103</v>
      </c>
      <c r="C52" s="8" t="s">
        <v>51</v>
      </c>
      <c r="D52" s="8" t="s">
        <v>104</v>
      </c>
      <c r="E52" s="8" t="s">
        <v>608</v>
      </c>
      <c r="F52" s="3" t="s">
        <v>106</v>
      </c>
      <c r="G52" s="8" t="s">
        <v>89</v>
      </c>
      <c r="H52" s="8">
        <v>1</v>
      </c>
      <c r="I52" s="8" t="s">
        <v>605</v>
      </c>
      <c r="J52" s="3" t="s">
        <v>609</v>
      </c>
      <c r="K52" s="8" t="s">
        <v>475</v>
      </c>
      <c r="L52" s="13">
        <v>0</v>
      </c>
      <c r="M52" s="8"/>
      <c r="N52" s="8"/>
    </row>
    <row r="53" spans="1:14" ht="51" customHeight="1">
      <c r="A53" s="8" t="s">
        <v>610</v>
      </c>
      <c r="B53" s="8" t="s">
        <v>103</v>
      </c>
      <c r="C53" s="8" t="s">
        <v>51</v>
      </c>
      <c r="D53" s="8" t="s">
        <v>104</v>
      </c>
      <c r="E53" s="8" t="s">
        <v>611</v>
      </c>
      <c r="F53" s="3" t="s">
        <v>106</v>
      </c>
      <c r="G53" s="8" t="s">
        <v>89</v>
      </c>
      <c r="H53" s="8">
        <v>0.5</v>
      </c>
      <c r="I53" s="8" t="s">
        <v>607</v>
      </c>
      <c r="J53" s="3" t="s">
        <v>612</v>
      </c>
      <c r="K53" s="8" t="s">
        <v>475</v>
      </c>
      <c r="L53" s="13">
        <v>0</v>
      </c>
      <c r="M53" s="8"/>
      <c r="N53" s="8"/>
    </row>
    <row r="54" spans="1:14" ht="51" customHeight="1">
      <c r="A54" s="8" t="s">
        <v>613</v>
      </c>
      <c r="B54" s="8" t="s">
        <v>109</v>
      </c>
      <c r="C54" s="8" t="s">
        <v>110</v>
      </c>
      <c r="D54" s="8" t="s">
        <v>111</v>
      </c>
      <c r="E54" s="8" t="s">
        <v>614</v>
      </c>
      <c r="F54" s="3" t="s">
        <v>113</v>
      </c>
      <c r="G54" s="8" t="s">
        <v>55</v>
      </c>
      <c r="H54" s="8">
        <v>1</v>
      </c>
      <c r="I54" s="8" t="s">
        <v>610</v>
      </c>
      <c r="J54" s="3" t="s">
        <v>615</v>
      </c>
      <c r="K54" s="8" t="s">
        <v>475</v>
      </c>
      <c r="L54" s="13">
        <v>0</v>
      </c>
      <c r="M54" s="8"/>
      <c r="N54" s="8"/>
    </row>
    <row r="55" spans="1:14" ht="51" customHeight="1">
      <c r="A55" s="8" t="s">
        <v>616</v>
      </c>
      <c r="B55" s="8" t="s">
        <v>109</v>
      </c>
      <c r="C55" s="8" t="s">
        <v>110</v>
      </c>
      <c r="D55" s="8" t="s">
        <v>111</v>
      </c>
      <c r="E55" s="8" t="s">
        <v>617</v>
      </c>
      <c r="F55" s="3" t="s">
        <v>113</v>
      </c>
      <c r="G55" s="8" t="s">
        <v>55</v>
      </c>
      <c r="H55" s="8">
        <v>1</v>
      </c>
      <c r="I55" s="8" t="s">
        <v>613</v>
      </c>
      <c r="J55" s="3" t="s">
        <v>618</v>
      </c>
      <c r="K55" s="8" t="s">
        <v>475</v>
      </c>
      <c r="L55" s="13">
        <v>0</v>
      </c>
      <c r="M55" s="8"/>
      <c r="N55" s="8"/>
    </row>
    <row r="56" spans="1:14" ht="51" customHeight="1">
      <c r="A56" s="8" t="s">
        <v>619</v>
      </c>
      <c r="B56" s="8" t="s">
        <v>109</v>
      </c>
      <c r="C56" s="8" t="s">
        <v>110</v>
      </c>
      <c r="D56" s="8" t="s">
        <v>111</v>
      </c>
      <c r="E56" s="8" t="s">
        <v>620</v>
      </c>
      <c r="F56" s="3" t="s">
        <v>113</v>
      </c>
      <c r="G56" s="8" t="s">
        <v>55</v>
      </c>
      <c r="H56" s="8">
        <v>1</v>
      </c>
      <c r="I56" s="8" t="s">
        <v>616</v>
      </c>
      <c r="J56" s="3" t="s">
        <v>115</v>
      </c>
      <c r="K56" s="8" t="s">
        <v>475</v>
      </c>
      <c r="L56" s="13">
        <v>0</v>
      </c>
      <c r="M56" s="8"/>
      <c r="N56" s="8"/>
    </row>
    <row r="57" spans="1:14" ht="51" customHeight="1">
      <c r="A57" s="8" t="s">
        <v>621</v>
      </c>
      <c r="B57" s="8" t="s">
        <v>109</v>
      </c>
      <c r="C57" s="8" t="s">
        <v>110</v>
      </c>
      <c r="D57" s="8" t="s">
        <v>111</v>
      </c>
      <c r="E57" s="8" t="s">
        <v>622</v>
      </c>
      <c r="F57" s="3" t="s">
        <v>113</v>
      </c>
      <c r="G57" s="8" t="s">
        <v>55</v>
      </c>
      <c r="H57" s="8">
        <v>1</v>
      </c>
      <c r="I57" s="8" t="s">
        <v>619</v>
      </c>
      <c r="J57" s="3" t="s">
        <v>623</v>
      </c>
      <c r="K57" s="8" t="s">
        <v>475</v>
      </c>
      <c r="L57" s="13">
        <v>0</v>
      </c>
      <c r="M57" s="8"/>
      <c r="N57" s="8"/>
    </row>
    <row r="58" spans="1:14" ht="51" customHeight="1">
      <c r="A58" s="8" t="s">
        <v>624</v>
      </c>
      <c r="B58" s="8" t="s">
        <v>109</v>
      </c>
      <c r="C58" s="8" t="s">
        <v>110</v>
      </c>
      <c r="D58" s="8" t="s">
        <v>111</v>
      </c>
      <c r="E58" s="8" t="s">
        <v>625</v>
      </c>
      <c r="F58" s="3" t="s">
        <v>113</v>
      </c>
      <c r="G58" s="8" t="s">
        <v>55</v>
      </c>
      <c r="H58" s="8">
        <v>0.5</v>
      </c>
      <c r="I58" s="8" t="s">
        <v>621</v>
      </c>
      <c r="J58" s="3" t="s">
        <v>626</v>
      </c>
      <c r="K58" s="8" t="s">
        <v>475</v>
      </c>
      <c r="L58" s="13">
        <v>0</v>
      </c>
      <c r="M58" s="8"/>
      <c r="N58" s="8"/>
    </row>
    <row r="59" spans="1:14" ht="51" customHeight="1">
      <c r="A59" s="8" t="s">
        <v>627</v>
      </c>
      <c r="B59" s="8" t="s">
        <v>116</v>
      </c>
      <c r="C59" s="8" t="s">
        <v>110</v>
      </c>
      <c r="D59" s="8" t="s">
        <v>111</v>
      </c>
      <c r="E59" s="8" t="s">
        <v>628</v>
      </c>
      <c r="F59" s="3" t="s">
        <v>118</v>
      </c>
      <c r="G59" s="8" t="s">
        <v>55</v>
      </c>
      <c r="H59" s="8">
        <v>1</v>
      </c>
      <c r="I59" s="8" t="s">
        <v>624</v>
      </c>
      <c r="J59" s="3" t="s">
        <v>629</v>
      </c>
      <c r="K59" s="8" t="s">
        <v>475</v>
      </c>
      <c r="L59" s="13">
        <v>0</v>
      </c>
      <c r="M59" s="8"/>
      <c r="N59" s="8"/>
    </row>
    <row r="60" spans="1:14" ht="51" customHeight="1">
      <c r="A60" s="8" t="s">
        <v>630</v>
      </c>
      <c r="B60" s="8" t="s">
        <v>116</v>
      </c>
      <c r="C60" s="8" t="s">
        <v>110</v>
      </c>
      <c r="D60" s="8" t="s">
        <v>111</v>
      </c>
      <c r="E60" s="8" t="s">
        <v>631</v>
      </c>
      <c r="F60" s="3" t="s">
        <v>118</v>
      </c>
      <c r="G60" s="8" t="s">
        <v>55</v>
      </c>
      <c r="H60" s="8">
        <v>0.5</v>
      </c>
      <c r="I60" s="8" t="s">
        <v>627</v>
      </c>
      <c r="J60" s="3" t="s">
        <v>632</v>
      </c>
      <c r="K60" s="8" t="s">
        <v>475</v>
      </c>
      <c r="L60" s="13">
        <v>0</v>
      </c>
      <c r="M60" s="8"/>
      <c r="N60" s="8"/>
    </row>
    <row r="61" spans="1:14" ht="51" customHeight="1">
      <c r="A61" s="8" t="s">
        <v>633</v>
      </c>
      <c r="B61" s="8" t="s">
        <v>116</v>
      </c>
      <c r="C61" s="8" t="s">
        <v>110</v>
      </c>
      <c r="D61" s="8" t="s">
        <v>111</v>
      </c>
      <c r="E61" s="8" t="s">
        <v>634</v>
      </c>
      <c r="F61" s="3" t="s">
        <v>118</v>
      </c>
      <c r="G61" s="8" t="s">
        <v>55</v>
      </c>
      <c r="H61" s="8">
        <v>1.5</v>
      </c>
      <c r="I61" s="8" t="s">
        <v>630</v>
      </c>
      <c r="J61" s="3" t="s">
        <v>120</v>
      </c>
      <c r="K61" s="8" t="s">
        <v>475</v>
      </c>
      <c r="L61" s="13">
        <v>0</v>
      </c>
      <c r="M61" s="8"/>
      <c r="N61" s="8"/>
    </row>
    <row r="62" spans="1:14" ht="51" customHeight="1">
      <c r="A62" s="8" t="s">
        <v>635</v>
      </c>
      <c r="B62" s="8" t="s">
        <v>116</v>
      </c>
      <c r="C62" s="8" t="s">
        <v>110</v>
      </c>
      <c r="D62" s="8" t="s">
        <v>111</v>
      </c>
      <c r="E62" s="8" t="s">
        <v>636</v>
      </c>
      <c r="F62" s="3" t="s">
        <v>118</v>
      </c>
      <c r="G62" s="8" t="s">
        <v>55</v>
      </c>
      <c r="H62" s="8">
        <v>1</v>
      </c>
      <c r="I62" s="8" t="s">
        <v>633</v>
      </c>
      <c r="J62" s="3" t="s">
        <v>637</v>
      </c>
      <c r="K62" s="8" t="s">
        <v>475</v>
      </c>
      <c r="L62" s="13">
        <v>0</v>
      </c>
      <c r="M62" s="8"/>
      <c r="N62" s="8"/>
    </row>
    <row r="63" spans="1:14" ht="51" customHeight="1">
      <c r="A63" s="8" t="s">
        <v>638</v>
      </c>
      <c r="B63" s="8" t="s">
        <v>116</v>
      </c>
      <c r="C63" s="8" t="s">
        <v>110</v>
      </c>
      <c r="D63" s="8" t="s">
        <v>111</v>
      </c>
      <c r="E63" s="8" t="s">
        <v>639</v>
      </c>
      <c r="F63" s="3" t="s">
        <v>118</v>
      </c>
      <c r="G63" s="8" t="s">
        <v>55</v>
      </c>
      <c r="H63" s="8">
        <v>0.5</v>
      </c>
      <c r="I63" s="8" t="s">
        <v>635</v>
      </c>
      <c r="J63" s="3" t="s">
        <v>640</v>
      </c>
      <c r="K63" s="8" t="s">
        <v>475</v>
      </c>
      <c r="L63" s="13">
        <v>0</v>
      </c>
      <c r="M63" s="8"/>
      <c r="N63" s="8"/>
    </row>
    <row r="64" spans="1:14" ht="51" customHeight="1">
      <c r="A64" s="8" t="s">
        <v>641</v>
      </c>
      <c r="B64" s="8" t="s">
        <v>121</v>
      </c>
      <c r="C64" s="8" t="s">
        <v>110</v>
      </c>
      <c r="D64" s="8" t="s">
        <v>111</v>
      </c>
      <c r="E64" s="8" t="s">
        <v>642</v>
      </c>
      <c r="F64" s="3" t="s">
        <v>123</v>
      </c>
      <c r="G64" s="8" t="s">
        <v>55</v>
      </c>
      <c r="H64" s="8">
        <v>1</v>
      </c>
      <c r="I64" s="8" t="s">
        <v>638</v>
      </c>
      <c r="J64" s="3" t="s">
        <v>643</v>
      </c>
      <c r="K64" s="8" t="s">
        <v>475</v>
      </c>
      <c r="L64" s="13">
        <v>0</v>
      </c>
      <c r="M64" s="8"/>
      <c r="N64" s="8"/>
    </row>
    <row r="65" spans="1:14" ht="51" customHeight="1">
      <c r="A65" s="8" t="s">
        <v>644</v>
      </c>
      <c r="B65" s="8" t="s">
        <v>121</v>
      </c>
      <c r="C65" s="8" t="s">
        <v>110</v>
      </c>
      <c r="D65" s="8" t="s">
        <v>111</v>
      </c>
      <c r="E65" s="8" t="s">
        <v>645</v>
      </c>
      <c r="F65" s="3" t="s">
        <v>123</v>
      </c>
      <c r="G65" s="8" t="s">
        <v>55</v>
      </c>
      <c r="H65" s="8">
        <v>1</v>
      </c>
      <c r="I65" s="8" t="s">
        <v>641</v>
      </c>
      <c r="J65" s="3" t="s">
        <v>646</v>
      </c>
      <c r="K65" s="8" t="s">
        <v>475</v>
      </c>
      <c r="L65" s="13">
        <v>0</v>
      </c>
      <c r="M65" s="8"/>
      <c r="N65" s="8"/>
    </row>
    <row r="66" spans="1:14" ht="51" customHeight="1">
      <c r="A66" s="8" t="s">
        <v>647</v>
      </c>
      <c r="B66" s="8" t="s">
        <v>121</v>
      </c>
      <c r="C66" s="8" t="s">
        <v>110</v>
      </c>
      <c r="D66" s="8" t="s">
        <v>111</v>
      </c>
      <c r="E66" s="8" t="s">
        <v>648</v>
      </c>
      <c r="F66" s="3" t="s">
        <v>123</v>
      </c>
      <c r="G66" s="8" t="s">
        <v>55</v>
      </c>
      <c r="H66" s="8">
        <v>2</v>
      </c>
      <c r="I66" s="8" t="s">
        <v>644</v>
      </c>
      <c r="J66" s="3" t="s">
        <v>125</v>
      </c>
      <c r="K66" s="8" t="s">
        <v>475</v>
      </c>
      <c r="L66" s="13">
        <v>0</v>
      </c>
      <c r="M66" s="8"/>
      <c r="N66" s="8"/>
    </row>
    <row r="67" spans="1:14" ht="51" customHeight="1">
      <c r="A67" s="8" t="s">
        <v>649</v>
      </c>
      <c r="B67" s="8" t="s">
        <v>121</v>
      </c>
      <c r="C67" s="8" t="s">
        <v>110</v>
      </c>
      <c r="D67" s="8" t="s">
        <v>111</v>
      </c>
      <c r="E67" s="8" t="s">
        <v>650</v>
      </c>
      <c r="F67" s="3" t="s">
        <v>123</v>
      </c>
      <c r="G67" s="8" t="s">
        <v>55</v>
      </c>
      <c r="H67" s="8">
        <v>1</v>
      </c>
      <c r="I67" s="8" t="s">
        <v>647</v>
      </c>
      <c r="J67" s="3" t="s">
        <v>651</v>
      </c>
      <c r="K67" s="8" t="s">
        <v>475</v>
      </c>
      <c r="L67" s="13">
        <v>0</v>
      </c>
      <c r="M67" s="8"/>
      <c r="N67" s="8"/>
    </row>
    <row r="68" spans="1:14" ht="51" customHeight="1">
      <c r="A68" s="8" t="s">
        <v>652</v>
      </c>
      <c r="B68" s="8" t="s">
        <v>121</v>
      </c>
      <c r="C68" s="8" t="s">
        <v>110</v>
      </c>
      <c r="D68" s="8" t="s">
        <v>111</v>
      </c>
      <c r="E68" s="8" t="s">
        <v>653</v>
      </c>
      <c r="F68" s="3" t="s">
        <v>123</v>
      </c>
      <c r="G68" s="8" t="s">
        <v>55</v>
      </c>
      <c r="H68" s="8">
        <v>0.5</v>
      </c>
      <c r="I68" s="8" t="s">
        <v>649</v>
      </c>
      <c r="J68" s="3" t="s">
        <v>654</v>
      </c>
      <c r="K68" s="8" t="s">
        <v>475</v>
      </c>
      <c r="L68" s="13">
        <v>0</v>
      </c>
      <c r="M68" s="8"/>
      <c r="N68" s="8"/>
    </row>
    <row r="69" spans="1:14" ht="51" customHeight="1">
      <c r="A69" s="8" t="s">
        <v>655</v>
      </c>
      <c r="B69" s="8" t="s">
        <v>126</v>
      </c>
      <c r="C69" s="8" t="s">
        <v>110</v>
      </c>
      <c r="D69" s="8" t="s">
        <v>111</v>
      </c>
      <c r="E69" s="8" t="s">
        <v>656</v>
      </c>
      <c r="F69" s="3" t="s">
        <v>128</v>
      </c>
      <c r="G69" s="8" t="s">
        <v>55</v>
      </c>
      <c r="H69" s="8">
        <v>0.5</v>
      </c>
      <c r="I69" s="8" t="s">
        <v>652</v>
      </c>
      <c r="J69" s="3" t="s">
        <v>657</v>
      </c>
      <c r="K69" s="8" t="s">
        <v>475</v>
      </c>
      <c r="L69" s="13">
        <v>0</v>
      </c>
      <c r="M69" s="8"/>
      <c r="N69" s="8"/>
    </row>
    <row r="70" spans="1:14" ht="51" customHeight="1">
      <c r="A70" s="8" t="s">
        <v>658</v>
      </c>
      <c r="B70" s="8" t="s">
        <v>126</v>
      </c>
      <c r="C70" s="8" t="s">
        <v>110</v>
      </c>
      <c r="D70" s="8" t="s">
        <v>111</v>
      </c>
      <c r="E70" s="8" t="s">
        <v>659</v>
      </c>
      <c r="F70" s="3" t="s">
        <v>128</v>
      </c>
      <c r="G70" s="8" t="s">
        <v>55</v>
      </c>
      <c r="H70" s="8">
        <v>1</v>
      </c>
      <c r="I70" s="8" t="s">
        <v>655</v>
      </c>
      <c r="J70" s="3" t="s">
        <v>660</v>
      </c>
      <c r="K70" s="8" t="s">
        <v>475</v>
      </c>
      <c r="L70" s="13">
        <v>0</v>
      </c>
      <c r="M70" s="8"/>
      <c r="N70" s="8"/>
    </row>
    <row r="71" spans="1:14" ht="51" customHeight="1">
      <c r="A71" s="8" t="s">
        <v>661</v>
      </c>
      <c r="B71" s="8" t="s">
        <v>126</v>
      </c>
      <c r="C71" s="8" t="s">
        <v>110</v>
      </c>
      <c r="D71" s="8" t="s">
        <v>111</v>
      </c>
      <c r="E71" s="8" t="s">
        <v>662</v>
      </c>
      <c r="F71" s="3" t="s">
        <v>128</v>
      </c>
      <c r="G71" s="8" t="s">
        <v>55</v>
      </c>
      <c r="H71" s="8">
        <v>1</v>
      </c>
      <c r="I71" s="8" t="s">
        <v>658</v>
      </c>
      <c r="J71" s="3" t="s">
        <v>130</v>
      </c>
      <c r="K71" s="8" t="s">
        <v>475</v>
      </c>
      <c r="L71" s="13">
        <v>0</v>
      </c>
      <c r="M71" s="8"/>
      <c r="N71" s="8"/>
    </row>
    <row r="72" spans="1:14" ht="51" customHeight="1">
      <c r="A72" s="8" t="s">
        <v>663</v>
      </c>
      <c r="B72" s="8" t="s">
        <v>126</v>
      </c>
      <c r="C72" s="8" t="s">
        <v>110</v>
      </c>
      <c r="D72" s="8" t="s">
        <v>111</v>
      </c>
      <c r="E72" s="8" t="s">
        <v>664</v>
      </c>
      <c r="F72" s="3" t="s">
        <v>128</v>
      </c>
      <c r="G72" s="8" t="s">
        <v>55</v>
      </c>
      <c r="H72" s="8">
        <v>1</v>
      </c>
      <c r="I72" s="8" t="s">
        <v>661</v>
      </c>
      <c r="J72" s="3" t="s">
        <v>665</v>
      </c>
      <c r="K72" s="8" t="s">
        <v>475</v>
      </c>
      <c r="L72" s="13">
        <v>0</v>
      </c>
      <c r="M72" s="8"/>
      <c r="N72" s="8"/>
    </row>
    <row r="73" spans="1:14" ht="51" customHeight="1">
      <c r="A73" s="8" t="s">
        <v>666</v>
      </c>
      <c r="B73" s="8" t="s">
        <v>126</v>
      </c>
      <c r="C73" s="8" t="s">
        <v>110</v>
      </c>
      <c r="D73" s="8" t="s">
        <v>111</v>
      </c>
      <c r="E73" s="8" t="s">
        <v>667</v>
      </c>
      <c r="F73" s="3" t="s">
        <v>128</v>
      </c>
      <c r="G73" s="8" t="s">
        <v>55</v>
      </c>
      <c r="H73" s="8">
        <v>0.5</v>
      </c>
      <c r="I73" s="8" t="s">
        <v>663</v>
      </c>
      <c r="J73" s="3" t="s">
        <v>668</v>
      </c>
      <c r="K73" s="8" t="s">
        <v>475</v>
      </c>
      <c r="L73" s="13">
        <v>0</v>
      </c>
      <c r="M73" s="8"/>
      <c r="N73" s="8"/>
    </row>
    <row r="74" spans="1:14" ht="51" customHeight="1">
      <c r="A74" s="8" t="s">
        <v>669</v>
      </c>
      <c r="B74" s="8" t="s">
        <v>131</v>
      </c>
      <c r="C74" s="8" t="s">
        <v>110</v>
      </c>
      <c r="D74" s="8" t="s">
        <v>111</v>
      </c>
      <c r="E74" s="8" t="s">
        <v>670</v>
      </c>
      <c r="F74" s="3" t="s">
        <v>133</v>
      </c>
      <c r="G74" s="8" t="s">
        <v>55</v>
      </c>
      <c r="H74" s="8">
        <v>0.5</v>
      </c>
      <c r="I74" s="8" t="s">
        <v>666</v>
      </c>
      <c r="J74" s="3" t="s">
        <v>671</v>
      </c>
      <c r="K74" s="8" t="s">
        <v>475</v>
      </c>
      <c r="L74" s="13">
        <v>0</v>
      </c>
      <c r="M74" s="8"/>
      <c r="N74" s="8"/>
    </row>
    <row r="75" spans="1:14" ht="51" customHeight="1">
      <c r="A75" s="8" t="s">
        <v>672</v>
      </c>
      <c r="B75" s="8" t="s">
        <v>131</v>
      </c>
      <c r="C75" s="8" t="s">
        <v>110</v>
      </c>
      <c r="D75" s="8" t="s">
        <v>111</v>
      </c>
      <c r="E75" s="8" t="s">
        <v>673</v>
      </c>
      <c r="F75" s="3" t="s">
        <v>133</v>
      </c>
      <c r="G75" s="8" t="s">
        <v>55</v>
      </c>
      <c r="H75" s="8">
        <v>1</v>
      </c>
      <c r="I75" s="8" t="s">
        <v>669</v>
      </c>
      <c r="J75" s="3" t="s">
        <v>674</v>
      </c>
      <c r="K75" s="8" t="s">
        <v>475</v>
      </c>
      <c r="L75" s="13">
        <v>0</v>
      </c>
      <c r="M75" s="8"/>
      <c r="N75" s="8"/>
    </row>
    <row r="76" spans="1:14" ht="51" customHeight="1">
      <c r="A76" s="8" t="s">
        <v>675</v>
      </c>
      <c r="B76" s="8" t="s">
        <v>131</v>
      </c>
      <c r="C76" s="8" t="s">
        <v>110</v>
      </c>
      <c r="D76" s="8" t="s">
        <v>111</v>
      </c>
      <c r="E76" s="8" t="s">
        <v>676</v>
      </c>
      <c r="F76" s="3" t="s">
        <v>133</v>
      </c>
      <c r="G76" s="8" t="s">
        <v>55</v>
      </c>
      <c r="H76" s="8">
        <v>1</v>
      </c>
      <c r="I76" s="8" t="s">
        <v>672</v>
      </c>
      <c r="J76" s="3" t="s">
        <v>135</v>
      </c>
      <c r="K76" s="8" t="s">
        <v>475</v>
      </c>
      <c r="L76" s="13">
        <v>0</v>
      </c>
      <c r="M76" s="8"/>
      <c r="N76" s="8"/>
    </row>
    <row r="77" spans="1:14" ht="51" customHeight="1">
      <c r="A77" s="8" t="s">
        <v>677</v>
      </c>
      <c r="B77" s="8" t="s">
        <v>131</v>
      </c>
      <c r="C77" s="8" t="s">
        <v>110</v>
      </c>
      <c r="D77" s="8" t="s">
        <v>111</v>
      </c>
      <c r="E77" s="8" t="s">
        <v>678</v>
      </c>
      <c r="F77" s="3" t="s">
        <v>133</v>
      </c>
      <c r="G77" s="8" t="s">
        <v>55</v>
      </c>
      <c r="H77" s="8">
        <v>1</v>
      </c>
      <c r="I77" s="8" t="s">
        <v>675</v>
      </c>
      <c r="J77" s="3" t="s">
        <v>679</v>
      </c>
      <c r="K77" s="8" t="s">
        <v>475</v>
      </c>
      <c r="L77" s="13">
        <v>0</v>
      </c>
      <c r="M77" s="8"/>
      <c r="N77" s="8"/>
    </row>
    <row r="78" spans="1:14" ht="51" customHeight="1">
      <c r="A78" s="8" t="s">
        <v>680</v>
      </c>
      <c r="B78" s="8" t="s">
        <v>131</v>
      </c>
      <c r="C78" s="8" t="s">
        <v>110</v>
      </c>
      <c r="D78" s="8" t="s">
        <v>111</v>
      </c>
      <c r="E78" s="8" t="s">
        <v>681</v>
      </c>
      <c r="F78" s="3" t="s">
        <v>133</v>
      </c>
      <c r="G78" s="8" t="s">
        <v>55</v>
      </c>
      <c r="H78" s="8">
        <v>0.5</v>
      </c>
      <c r="I78" s="8" t="s">
        <v>677</v>
      </c>
      <c r="J78" s="3" t="s">
        <v>682</v>
      </c>
      <c r="K78" s="8" t="s">
        <v>475</v>
      </c>
      <c r="L78" s="13">
        <v>0</v>
      </c>
      <c r="M78" s="8"/>
      <c r="N78" s="8"/>
    </row>
    <row r="79" spans="1:14" ht="51" customHeight="1">
      <c r="A79" s="8" t="s">
        <v>683</v>
      </c>
      <c r="B79" s="8" t="s">
        <v>136</v>
      </c>
      <c r="C79" s="8" t="s">
        <v>110</v>
      </c>
      <c r="D79" s="8" t="s">
        <v>111</v>
      </c>
      <c r="E79" s="8" t="s">
        <v>684</v>
      </c>
      <c r="F79" s="3" t="s">
        <v>138</v>
      </c>
      <c r="G79" s="8" t="s">
        <v>55</v>
      </c>
      <c r="H79" s="8">
        <v>1</v>
      </c>
      <c r="I79" s="8" t="s">
        <v>680</v>
      </c>
      <c r="J79" s="3" t="s">
        <v>685</v>
      </c>
      <c r="K79" s="8" t="s">
        <v>475</v>
      </c>
      <c r="L79" s="13">
        <v>0</v>
      </c>
      <c r="M79" s="8"/>
      <c r="N79" s="8"/>
    </row>
    <row r="80" spans="1:14" ht="51" customHeight="1">
      <c r="A80" s="8" t="s">
        <v>686</v>
      </c>
      <c r="B80" s="8" t="s">
        <v>136</v>
      </c>
      <c r="C80" s="8" t="s">
        <v>110</v>
      </c>
      <c r="D80" s="8" t="s">
        <v>111</v>
      </c>
      <c r="E80" s="8" t="s">
        <v>687</v>
      </c>
      <c r="F80" s="3" t="s">
        <v>138</v>
      </c>
      <c r="G80" s="8" t="s">
        <v>55</v>
      </c>
      <c r="H80" s="8">
        <v>1</v>
      </c>
      <c r="I80" s="8" t="s">
        <v>683</v>
      </c>
      <c r="J80" s="3" t="s">
        <v>688</v>
      </c>
      <c r="K80" s="8" t="s">
        <v>475</v>
      </c>
      <c r="L80" s="13">
        <v>0</v>
      </c>
      <c r="M80" s="8"/>
      <c r="N80" s="8"/>
    </row>
    <row r="81" spans="1:14" ht="51" customHeight="1">
      <c r="A81" s="8" t="s">
        <v>689</v>
      </c>
      <c r="B81" s="8" t="s">
        <v>136</v>
      </c>
      <c r="C81" s="8" t="s">
        <v>110</v>
      </c>
      <c r="D81" s="8" t="s">
        <v>111</v>
      </c>
      <c r="E81" s="8" t="s">
        <v>690</v>
      </c>
      <c r="F81" s="3" t="s">
        <v>138</v>
      </c>
      <c r="G81" s="8" t="s">
        <v>55</v>
      </c>
      <c r="H81" s="8">
        <v>1.5</v>
      </c>
      <c r="I81" s="8" t="s">
        <v>686</v>
      </c>
      <c r="J81" s="3" t="s">
        <v>140</v>
      </c>
      <c r="K81" s="8" t="s">
        <v>475</v>
      </c>
      <c r="L81" s="13">
        <v>0</v>
      </c>
      <c r="M81" s="8"/>
      <c r="N81" s="8"/>
    </row>
    <row r="82" spans="1:14" ht="51" customHeight="1">
      <c r="A82" s="8" t="s">
        <v>691</v>
      </c>
      <c r="B82" s="8" t="s">
        <v>136</v>
      </c>
      <c r="C82" s="8" t="s">
        <v>110</v>
      </c>
      <c r="D82" s="8" t="s">
        <v>111</v>
      </c>
      <c r="E82" s="8" t="s">
        <v>692</v>
      </c>
      <c r="F82" s="3" t="s">
        <v>138</v>
      </c>
      <c r="G82" s="8" t="s">
        <v>55</v>
      </c>
      <c r="H82" s="8">
        <v>1</v>
      </c>
      <c r="I82" s="8" t="s">
        <v>689</v>
      </c>
      <c r="J82" s="3" t="s">
        <v>693</v>
      </c>
      <c r="K82" s="8" t="s">
        <v>475</v>
      </c>
      <c r="L82" s="13">
        <v>0</v>
      </c>
      <c r="M82" s="8"/>
      <c r="N82" s="8"/>
    </row>
    <row r="83" spans="1:14" ht="51" customHeight="1">
      <c r="A83" s="8" t="s">
        <v>694</v>
      </c>
      <c r="B83" s="8" t="s">
        <v>136</v>
      </c>
      <c r="C83" s="8" t="s">
        <v>110</v>
      </c>
      <c r="D83" s="8" t="s">
        <v>111</v>
      </c>
      <c r="E83" s="8" t="s">
        <v>695</v>
      </c>
      <c r="F83" s="3" t="s">
        <v>138</v>
      </c>
      <c r="G83" s="8" t="s">
        <v>55</v>
      </c>
      <c r="H83" s="8">
        <v>0.5</v>
      </c>
      <c r="I83" s="8" t="s">
        <v>691</v>
      </c>
      <c r="J83" s="3" t="s">
        <v>696</v>
      </c>
      <c r="K83" s="8" t="s">
        <v>475</v>
      </c>
      <c r="L83" s="13">
        <v>0</v>
      </c>
      <c r="M83" s="8"/>
      <c r="N83" s="8"/>
    </row>
    <row r="84" spans="1:14" ht="51" customHeight="1">
      <c r="A84" s="8" t="s">
        <v>697</v>
      </c>
      <c r="B84" s="8" t="s">
        <v>141</v>
      </c>
      <c r="C84" s="8" t="s">
        <v>110</v>
      </c>
      <c r="D84" s="8" t="s">
        <v>142</v>
      </c>
      <c r="E84" s="8" t="s">
        <v>698</v>
      </c>
      <c r="F84" s="3" t="s">
        <v>144</v>
      </c>
      <c r="G84" s="8" t="s">
        <v>89</v>
      </c>
      <c r="H84" s="8">
        <v>0.5</v>
      </c>
      <c r="I84" s="8" t="s">
        <v>694</v>
      </c>
      <c r="J84" s="3" t="s">
        <v>699</v>
      </c>
      <c r="K84" s="8" t="s">
        <v>475</v>
      </c>
      <c r="L84" s="13">
        <v>0</v>
      </c>
      <c r="M84" s="8"/>
      <c r="N84" s="8"/>
    </row>
    <row r="85" spans="1:14" ht="51" customHeight="1">
      <c r="A85" s="8" t="s">
        <v>700</v>
      </c>
      <c r="B85" s="8" t="s">
        <v>141</v>
      </c>
      <c r="C85" s="8" t="s">
        <v>110</v>
      </c>
      <c r="D85" s="8" t="s">
        <v>142</v>
      </c>
      <c r="E85" s="8" t="s">
        <v>701</v>
      </c>
      <c r="F85" s="3" t="s">
        <v>144</v>
      </c>
      <c r="G85" s="8" t="s">
        <v>89</v>
      </c>
      <c r="H85" s="8">
        <v>1</v>
      </c>
      <c r="I85" s="8" t="s">
        <v>697</v>
      </c>
      <c r="J85" s="3" t="s">
        <v>702</v>
      </c>
      <c r="K85" s="8" t="s">
        <v>475</v>
      </c>
      <c r="L85" s="13">
        <v>0</v>
      </c>
      <c r="M85" s="8"/>
      <c r="N85" s="8"/>
    </row>
    <row r="86" spans="1:14" ht="51" customHeight="1">
      <c r="A86" s="8" t="s">
        <v>703</v>
      </c>
      <c r="B86" s="8" t="s">
        <v>141</v>
      </c>
      <c r="C86" s="8" t="s">
        <v>110</v>
      </c>
      <c r="D86" s="8" t="s">
        <v>142</v>
      </c>
      <c r="E86" s="8" t="s">
        <v>704</v>
      </c>
      <c r="F86" s="3" t="s">
        <v>144</v>
      </c>
      <c r="G86" s="8" t="s">
        <v>89</v>
      </c>
      <c r="H86" s="8">
        <v>1.5</v>
      </c>
      <c r="I86" s="8" t="s">
        <v>700</v>
      </c>
      <c r="J86" s="3" t="s">
        <v>146</v>
      </c>
      <c r="K86" s="8" t="s">
        <v>475</v>
      </c>
      <c r="L86" s="13">
        <v>0</v>
      </c>
      <c r="M86" s="8"/>
      <c r="N86" s="8"/>
    </row>
    <row r="87" spans="1:14" ht="51" customHeight="1">
      <c r="A87" s="8" t="s">
        <v>705</v>
      </c>
      <c r="B87" s="8" t="s">
        <v>141</v>
      </c>
      <c r="C87" s="8" t="s">
        <v>110</v>
      </c>
      <c r="D87" s="8" t="s">
        <v>142</v>
      </c>
      <c r="E87" s="8" t="s">
        <v>706</v>
      </c>
      <c r="F87" s="3" t="s">
        <v>144</v>
      </c>
      <c r="G87" s="8" t="s">
        <v>89</v>
      </c>
      <c r="H87" s="8">
        <v>1</v>
      </c>
      <c r="I87" s="8" t="s">
        <v>703</v>
      </c>
      <c r="J87" s="3" t="s">
        <v>707</v>
      </c>
      <c r="K87" s="8" t="s">
        <v>475</v>
      </c>
      <c r="L87" s="13">
        <v>0</v>
      </c>
      <c r="M87" s="8"/>
      <c r="N87" s="8"/>
    </row>
    <row r="88" spans="1:14" ht="51" customHeight="1">
      <c r="A88" s="8" t="s">
        <v>708</v>
      </c>
      <c r="B88" s="8" t="s">
        <v>141</v>
      </c>
      <c r="C88" s="8" t="s">
        <v>110</v>
      </c>
      <c r="D88" s="8" t="s">
        <v>142</v>
      </c>
      <c r="E88" s="8" t="s">
        <v>709</v>
      </c>
      <c r="F88" s="3" t="s">
        <v>144</v>
      </c>
      <c r="G88" s="8" t="s">
        <v>89</v>
      </c>
      <c r="H88" s="8">
        <v>0.5</v>
      </c>
      <c r="I88" s="8" t="s">
        <v>705</v>
      </c>
      <c r="J88" s="3" t="s">
        <v>710</v>
      </c>
      <c r="K88" s="8" t="s">
        <v>475</v>
      </c>
      <c r="L88" s="13">
        <v>0</v>
      </c>
      <c r="M88" s="8"/>
      <c r="N88" s="8"/>
    </row>
    <row r="89" spans="1:14" ht="51" customHeight="1">
      <c r="A89" s="8" t="s">
        <v>711</v>
      </c>
      <c r="B89" s="8" t="s">
        <v>147</v>
      </c>
      <c r="C89" s="8" t="s">
        <v>110</v>
      </c>
      <c r="D89" s="8" t="s">
        <v>93</v>
      </c>
      <c r="E89" s="8" t="s">
        <v>712</v>
      </c>
      <c r="F89" s="3" t="s">
        <v>149</v>
      </c>
      <c r="G89" s="8" t="s">
        <v>55</v>
      </c>
      <c r="H89" s="8">
        <v>1</v>
      </c>
      <c r="I89" s="8" t="s">
        <v>708</v>
      </c>
      <c r="J89" s="3" t="s">
        <v>713</v>
      </c>
      <c r="K89" s="8" t="s">
        <v>475</v>
      </c>
      <c r="L89" s="13">
        <v>0</v>
      </c>
      <c r="M89" s="8"/>
      <c r="N89" s="8"/>
    </row>
    <row r="90" spans="1:14" ht="51" customHeight="1">
      <c r="A90" s="8" t="s">
        <v>714</v>
      </c>
      <c r="B90" s="8" t="s">
        <v>147</v>
      </c>
      <c r="C90" s="8" t="s">
        <v>110</v>
      </c>
      <c r="D90" s="8" t="s">
        <v>93</v>
      </c>
      <c r="E90" s="8" t="s">
        <v>715</v>
      </c>
      <c r="F90" s="3" t="s">
        <v>149</v>
      </c>
      <c r="G90" s="8" t="s">
        <v>55</v>
      </c>
      <c r="H90" s="8">
        <v>1</v>
      </c>
      <c r="I90" s="8" t="s">
        <v>711</v>
      </c>
      <c r="J90" s="3" t="s">
        <v>716</v>
      </c>
      <c r="K90" s="8" t="s">
        <v>475</v>
      </c>
      <c r="L90" s="13">
        <v>0</v>
      </c>
      <c r="M90" s="8"/>
      <c r="N90" s="8"/>
    </row>
    <row r="91" spans="1:14" ht="51" customHeight="1">
      <c r="A91" s="8" t="s">
        <v>717</v>
      </c>
      <c r="B91" s="8" t="s">
        <v>147</v>
      </c>
      <c r="C91" s="8" t="s">
        <v>110</v>
      </c>
      <c r="D91" s="8" t="s">
        <v>93</v>
      </c>
      <c r="E91" s="8" t="s">
        <v>718</v>
      </c>
      <c r="F91" s="3" t="s">
        <v>149</v>
      </c>
      <c r="G91" s="8" t="s">
        <v>55</v>
      </c>
      <c r="H91" s="8">
        <v>2</v>
      </c>
      <c r="I91" s="8" t="s">
        <v>714</v>
      </c>
      <c r="J91" s="3" t="s">
        <v>151</v>
      </c>
      <c r="K91" s="8" t="s">
        <v>475</v>
      </c>
      <c r="L91" s="13">
        <v>0</v>
      </c>
      <c r="M91" s="8"/>
      <c r="N91" s="8"/>
    </row>
    <row r="92" spans="1:14" ht="51" customHeight="1">
      <c r="A92" s="8" t="s">
        <v>719</v>
      </c>
      <c r="B92" s="8" t="s">
        <v>147</v>
      </c>
      <c r="C92" s="8" t="s">
        <v>110</v>
      </c>
      <c r="D92" s="8" t="s">
        <v>93</v>
      </c>
      <c r="E92" s="8" t="s">
        <v>720</v>
      </c>
      <c r="F92" s="3" t="s">
        <v>149</v>
      </c>
      <c r="G92" s="8" t="s">
        <v>55</v>
      </c>
      <c r="H92" s="8">
        <v>1</v>
      </c>
      <c r="I92" s="8" t="s">
        <v>717</v>
      </c>
      <c r="J92" s="3" t="s">
        <v>721</v>
      </c>
      <c r="K92" s="8" t="s">
        <v>475</v>
      </c>
      <c r="L92" s="13">
        <v>0</v>
      </c>
      <c r="M92" s="8"/>
      <c r="N92" s="8"/>
    </row>
    <row r="93" spans="1:14" ht="51" customHeight="1">
      <c r="A93" s="8" t="s">
        <v>722</v>
      </c>
      <c r="B93" s="8" t="s">
        <v>147</v>
      </c>
      <c r="C93" s="8" t="s">
        <v>110</v>
      </c>
      <c r="D93" s="8" t="s">
        <v>93</v>
      </c>
      <c r="E93" s="8" t="s">
        <v>723</v>
      </c>
      <c r="F93" s="3" t="s">
        <v>149</v>
      </c>
      <c r="G93" s="8" t="s">
        <v>55</v>
      </c>
      <c r="H93" s="8">
        <v>0.5</v>
      </c>
      <c r="I93" s="8" t="s">
        <v>719</v>
      </c>
      <c r="J93" s="3" t="s">
        <v>724</v>
      </c>
      <c r="K93" s="8" t="s">
        <v>475</v>
      </c>
      <c r="L93" s="13">
        <v>0</v>
      </c>
      <c r="M93" s="8"/>
      <c r="N93" s="8"/>
    </row>
    <row r="94" spans="1:14" ht="51" customHeight="1">
      <c r="A94" s="8" t="s">
        <v>725</v>
      </c>
      <c r="B94" s="8" t="s">
        <v>152</v>
      </c>
      <c r="C94" s="8" t="s">
        <v>153</v>
      </c>
      <c r="D94" s="8" t="s">
        <v>154</v>
      </c>
      <c r="E94" s="8" t="s">
        <v>726</v>
      </c>
      <c r="F94" s="3" t="s">
        <v>156</v>
      </c>
      <c r="G94" s="8" t="s">
        <v>55</v>
      </c>
      <c r="H94" s="8">
        <v>1</v>
      </c>
      <c r="I94" s="8" t="s">
        <v>722</v>
      </c>
      <c r="J94" s="3" t="s">
        <v>727</v>
      </c>
      <c r="K94" s="8" t="s">
        <v>475</v>
      </c>
      <c r="L94" s="13">
        <v>0</v>
      </c>
      <c r="M94" s="8"/>
      <c r="N94" s="8"/>
    </row>
    <row r="95" spans="1:14" ht="51" customHeight="1">
      <c r="A95" s="8" t="s">
        <v>728</v>
      </c>
      <c r="B95" s="8" t="s">
        <v>152</v>
      </c>
      <c r="C95" s="8" t="s">
        <v>153</v>
      </c>
      <c r="D95" s="8" t="s">
        <v>154</v>
      </c>
      <c r="E95" s="8" t="s">
        <v>729</v>
      </c>
      <c r="F95" s="3" t="s">
        <v>156</v>
      </c>
      <c r="G95" s="8" t="s">
        <v>55</v>
      </c>
      <c r="H95" s="8">
        <v>1</v>
      </c>
      <c r="I95" s="8" t="s">
        <v>725</v>
      </c>
      <c r="J95" s="3" t="s">
        <v>730</v>
      </c>
      <c r="K95" s="8" t="s">
        <v>475</v>
      </c>
      <c r="L95" s="13">
        <v>0</v>
      </c>
      <c r="M95" s="8"/>
      <c r="N95" s="8"/>
    </row>
    <row r="96" spans="1:14" ht="51" customHeight="1">
      <c r="A96" s="8" t="s">
        <v>731</v>
      </c>
      <c r="B96" s="8" t="s">
        <v>152</v>
      </c>
      <c r="C96" s="8" t="s">
        <v>153</v>
      </c>
      <c r="D96" s="8" t="s">
        <v>154</v>
      </c>
      <c r="E96" s="8" t="s">
        <v>732</v>
      </c>
      <c r="F96" s="3" t="s">
        <v>156</v>
      </c>
      <c r="G96" s="8" t="s">
        <v>55</v>
      </c>
      <c r="H96" s="8">
        <v>1</v>
      </c>
      <c r="I96" s="8" t="s">
        <v>728</v>
      </c>
      <c r="J96" s="3" t="s">
        <v>158</v>
      </c>
      <c r="K96" s="8" t="s">
        <v>475</v>
      </c>
      <c r="L96" s="13">
        <v>0</v>
      </c>
      <c r="M96" s="8"/>
      <c r="N96" s="8"/>
    </row>
    <row r="97" spans="1:14" ht="51" customHeight="1">
      <c r="A97" s="8" t="s">
        <v>733</v>
      </c>
      <c r="B97" s="8" t="s">
        <v>152</v>
      </c>
      <c r="C97" s="8" t="s">
        <v>153</v>
      </c>
      <c r="D97" s="8" t="s">
        <v>154</v>
      </c>
      <c r="E97" s="8" t="s">
        <v>734</v>
      </c>
      <c r="F97" s="3" t="s">
        <v>156</v>
      </c>
      <c r="G97" s="8" t="s">
        <v>55</v>
      </c>
      <c r="H97" s="8">
        <v>1</v>
      </c>
      <c r="I97" s="8" t="s">
        <v>731</v>
      </c>
      <c r="J97" s="3" t="s">
        <v>735</v>
      </c>
      <c r="K97" s="8" t="s">
        <v>475</v>
      </c>
      <c r="L97" s="13">
        <v>0</v>
      </c>
      <c r="M97" s="8"/>
      <c r="N97" s="8"/>
    </row>
    <row r="98" spans="1:14" ht="51" customHeight="1">
      <c r="A98" s="8" t="s">
        <v>736</v>
      </c>
      <c r="B98" s="8" t="s">
        <v>152</v>
      </c>
      <c r="C98" s="8" t="s">
        <v>153</v>
      </c>
      <c r="D98" s="8" t="s">
        <v>154</v>
      </c>
      <c r="E98" s="8" t="s">
        <v>737</v>
      </c>
      <c r="F98" s="3" t="s">
        <v>156</v>
      </c>
      <c r="G98" s="8" t="s">
        <v>55</v>
      </c>
      <c r="H98" s="8">
        <v>0.5</v>
      </c>
      <c r="I98" s="8" t="s">
        <v>733</v>
      </c>
      <c r="J98" s="3" t="s">
        <v>738</v>
      </c>
      <c r="K98" s="8" t="s">
        <v>475</v>
      </c>
      <c r="L98" s="13">
        <v>0</v>
      </c>
      <c r="M98" s="8"/>
      <c r="N98" s="8"/>
    </row>
    <row r="99" spans="1:14" ht="51" customHeight="1">
      <c r="A99" s="8" t="s">
        <v>739</v>
      </c>
      <c r="B99" s="8" t="s">
        <v>159</v>
      </c>
      <c r="C99" s="8" t="s">
        <v>153</v>
      </c>
      <c r="D99" s="8" t="s">
        <v>160</v>
      </c>
      <c r="E99" s="8" t="s">
        <v>740</v>
      </c>
      <c r="F99" s="3" t="s">
        <v>162</v>
      </c>
      <c r="G99" s="8" t="s">
        <v>55</v>
      </c>
      <c r="H99" s="8">
        <v>0.5</v>
      </c>
      <c r="I99" s="8" t="s">
        <v>736</v>
      </c>
      <c r="J99" s="3" t="s">
        <v>741</v>
      </c>
      <c r="K99" s="8" t="s">
        <v>475</v>
      </c>
      <c r="L99" s="13">
        <v>0</v>
      </c>
      <c r="M99" s="8"/>
      <c r="N99" s="8"/>
    </row>
    <row r="100" spans="1:14" ht="51" customHeight="1">
      <c r="A100" s="8" t="s">
        <v>742</v>
      </c>
      <c r="B100" s="8" t="s">
        <v>159</v>
      </c>
      <c r="C100" s="8" t="s">
        <v>153</v>
      </c>
      <c r="D100" s="8" t="s">
        <v>160</v>
      </c>
      <c r="E100" s="8" t="s">
        <v>743</v>
      </c>
      <c r="F100" s="3" t="s">
        <v>162</v>
      </c>
      <c r="G100" s="8" t="s">
        <v>55</v>
      </c>
      <c r="H100" s="8">
        <v>0.5</v>
      </c>
      <c r="I100" s="8" t="s">
        <v>739</v>
      </c>
      <c r="J100" s="3" t="s">
        <v>744</v>
      </c>
      <c r="K100" s="8" t="s">
        <v>475</v>
      </c>
      <c r="L100" s="13">
        <v>0</v>
      </c>
      <c r="M100" s="8"/>
      <c r="N100" s="8"/>
    </row>
    <row r="101" spans="1:14" ht="51" customHeight="1">
      <c r="A101" s="8" t="s">
        <v>745</v>
      </c>
      <c r="B101" s="8" t="s">
        <v>159</v>
      </c>
      <c r="C101" s="8" t="s">
        <v>153</v>
      </c>
      <c r="D101" s="8" t="s">
        <v>160</v>
      </c>
      <c r="E101" s="8" t="s">
        <v>746</v>
      </c>
      <c r="F101" s="3" t="s">
        <v>162</v>
      </c>
      <c r="G101" s="8" t="s">
        <v>55</v>
      </c>
      <c r="H101" s="8">
        <v>1.5</v>
      </c>
      <c r="I101" s="8" t="s">
        <v>742</v>
      </c>
      <c r="J101" s="3" t="s">
        <v>164</v>
      </c>
      <c r="K101" s="8" t="s">
        <v>475</v>
      </c>
      <c r="L101" s="13">
        <v>0</v>
      </c>
      <c r="M101" s="8"/>
      <c r="N101" s="8"/>
    </row>
    <row r="102" spans="1:14" ht="51" customHeight="1">
      <c r="A102" s="8" t="s">
        <v>747</v>
      </c>
      <c r="B102" s="8" t="s">
        <v>159</v>
      </c>
      <c r="C102" s="8" t="s">
        <v>153</v>
      </c>
      <c r="D102" s="8" t="s">
        <v>160</v>
      </c>
      <c r="E102" s="8" t="s">
        <v>748</v>
      </c>
      <c r="F102" s="3" t="s">
        <v>162</v>
      </c>
      <c r="G102" s="8" t="s">
        <v>55</v>
      </c>
      <c r="H102" s="8">
        <v>1</v>
      </c>
      <c r="I102" s="8" t="s">
        <v>745</v>
      </c>
      <c r="J102" s="3" t="s">
        <v>749</v>
      </c>
      <c r="K102" s="8" t="s">
        <v>475</v>
      </c>
      <c r="L102" s="13">
        <v>0</v>
      </c>
      <c r="M102" s="8"/>
      <c r="N102" s="8"/>
    </row>
    <row r="103" spans="1:14" ht="51" customHeight="1">
      <c r="A103" s="8" t="s">
        <v>750</v>
      </c>
      <c r="B103" s="8" t="s">
        <v>159</v>
      </c>
      <c r="C103" s="8" t="s">
        <v>153</v>
      </c>
      <c r="D103" s="8" t="s">
        <v>160</v>
      </c>
      <c r="E103" s="8" t="s">
        <v>751</v>
      </c>
      <c r="F103" s="3" t="s">
        <v>162</v>
      </c>
      <c r="G103" s="8" t="s">
        <v>55</v>
      </c>
      <c r="H103" s="8">
        <v>0.5</v>
      </c>
      <c r="I103" s="8" t="s">
        <v>747</v>
      </c>
      <c r="J103" s="3" t="s">
        <v>752</v>
      </c>
      <c r="K103" s="8" t="s">
        <v>475</v>
      </c>
      <c r="L103" s="13">
        <v>0</v>
      </c>
      <c r="M103" s="8"/>
      <c r="N103" s="8"/>
    </row>
    <row r="104" spans="1:14" ht="51" customHeight="1">
      <c r="A104" s="8" t="s">
        <v>753</v>
      </c>
      <c r="B104" s="8" t="s">
        <v>165</v>
      </c>
      <c r="C104" s="8" t="s">
        <v>153</v>
      </c>
      <c r="D104" s="8" t="s">
        <v>160</v>
      </c>
      <c r="E104" s="8" t="s">
        <v>754</v>
      </c>
      <c r="F104" s="3" t="s">
        <v>167</v>
      </c>
      <c r="G104" s="8" t="s">
        <v>55</v>
      </c>
      <c r="H104" s="8">
        <v>1</v>
      </c>
      <c r="I104" s="8" t="s">
        <v>750</v>
      </c>
      <c r="J104" s="3" t="s">
        <v>755</v>
      </c>
      <c r="K104" s="8" t="s">
        <v>475</v>
      </c>
      <c r="L104" s="13">
        <v>0</v>
      </c>
      <c r="M104" s="8"/>
      <c r="N104" s="8"/>
    </row>
    <row r="105" spans="1:14" ht="51" customHeight="1">
      <c r="A105" s="8" t="s">
        <v>756</v>
      </c>
      <c r="B105" s="8" t="s">
        <v>165</v>
      </c>
      <c r="C105" s="8" t="s">
        <v>153</v>
      </c>
      <c r="D105" s="8" t="s">
        <v>160</v>
      </c>
      <c r="E105" s="8" t="s">
        <v>757</v>
      </c>
      <c r="F105" s="3" t="s">
        <v>167</v>
      </c>
      <c r="G105" s="8" t="s">
        <v>55</v>
      </c>
      <c r="H105" s="8">
        <v>1</v>
      </c>
      <c r="I105" s="8" t="s">
        <v>753</v>
      </c>
      <c r="J105" s="3" t="s">
        <v>758</v>
      </c>
      <c r="K105" s="8" t="s">
        <v>475</v>
      </c>
      <c r="L105" s="13">
        <v>0</v>
      </c>
      <c r="M105" s="8"/>
      <c r="N105" s="8"/>
    </row>
    <row r="106" spans="1:14" ht="51" customHeight="1">
      <c r="A106" s="8" t="s">
        <v>759</v>
      </c>
      <c r="B106" s="8" t="s">
        <v>165</v>
      </c>
      <c r="C106" s="8" t="s">
        <v>153</v>
      </c>
      <c r="D106" s="8" t="s">
        <v>160</v>
      </c>
      <c r="E106" s="8" t="s">
        <v>760</v>
      </c>
      <c r="F106" s="3" t="s">
        <v>167</v>
      </c>
      <c r="G106" s="8" t="s">
        <v>55</v>
      </c>
      <c r="H106" s="8">
        <v>2</v>
      </c>
      <c r="I106" s="8" t="s">
        <v>756</v>
      </c>
      <c r="J106" s="3" t="s">
        <v>169</v>
      </c>
      <c r="K106" s="8" t="s">
        <v>475</v>
      </c>
      <c r="L106" s="13">
        <v>0</v>
      </c>
      <c r="M106" s="8"/>
      <c r="N106" s="8"/>
    </row>
    <row r="107" spans="1:14" ht="51" customHeight="1">
      <c r="A107" s="8" t="s">
        <v>761</v>
      </c>
      <c r="B107" s="8" t="s">
        <v>165</v>
      </c>
      <c r="C107" s="8" t="s">
        <v>153</v>
      </c>
      <c r="D107" s="8" t="s">
        <v>160</v>
      </c>
      <c r="E107" s="8" t="s">
        <v>762</v>
      </c>
      <c r="F107" s="3" t="s">
        <v>167</v>
      </c>
      <c r="G107" s="8" t="s">
        <v>55</v>
      </c>
      <c r="H107" s="8">
        <v>1</v>
      </c>
      <c r="I107" s="8" t="s">
        <v>759</v>
      </c>
      <c r="J107" s="3" t="s">
        <v>763</v>
      </c>
      <c r="K107" s="8" t="s">
        <v>475</v>
      </c>
      <c r="L107" s="13">
        <v>0</v>
      </c>
      <c r="M107" s="8"/>
      <c r="N107" s="8"/>
    </row>
    <row r="108" spans="1:14" ht="51" customHeight="1">
      <c r="A108" s="8" t="s">
        <v>764</v>
      </c>
      <c r="B108" s="8" t="s">
        <v>165</v>
      </c>
      <c r="C108" s="8" t="s">
        <v>153</v>
      </c>
      <c r="D108" s="8" t="s">
        <v>160</v>
      </c>
      <c r="E108" s="8" t="s">
        <v>765</v>
      </c>
      <c r="F108" s="3" t="s">
        <v>167</v>
      </c>
      <c r="G108" s="8" t="s">
        <v>55</v>
      </c>
      <c r="H108" s="8">
        <v>0.5</v>
      </c>
      <c r="I108" s="8" t="s">
        <v>761</v>
      </c>
      <c r="J108" s="3" t="s">
        <v>766</v>
      </c>
      <c r="K108" s="8" t="s">
        <v>475</v>
      </c>
      <c r="L108" s="13">
        <v>0</v>
      </c>
      <c r="M108" s="8"/>
      <c r="N108" s="8"/>
    </row>
    <row r="109" spans="1:14" ht="51" customHeight="1">
      <c r="A109" s="8" t="s">
        <v>767</v>
      </c>
      <c r="B109" s="8" t="s">
        <v>170</v>
      </c>
      <c r="C109" s="8" t="s">
        <v>153</v>
      </c>
      <c r="D109" s="8" t="s">
        <v>160</v>
      </c>
      <c r="E109" s="8" t="s">
        <v>768</v>
      </c>
      <c r="F109" s="3" t="s">
        <v>172</v>
      </c>
      <c r="G109" s="8" t="s">
        <v>55</v>
      </c>
      <c r="H109" s="8">
        <v>1</v>
      </c>
      <c r="I109" s="8" t="s">
        <v>764</v>
      </c>
      <c r="J109" s="3" t="s">
        <v>769</v>
      </c>
      <c r="K109" s="8" t="s">
        <v>475</v>
      </c>
      <c r="L109" s="13">
        <v>0</v>
      </c>
      <c r="M109" s="8"/>
      <c r="N109" s="8"/>
    </row>
    <row r="110" spans="1:14" ht="51" customHeight="1">
      <c r="A110" s="8" t="s">
        <v>770</v>
      </c>
      <c r="B110" s="8" t="s">
        <v>170</v>
      </c>
      <c r="C110" s="8" t="s">
        <v>153</v>
      </c>
      <c r="D110" s="8" t="s">
        <v>160</v>
      </c>
      <c r="E110" s="8" t="s">
        <v>771</v>
      </c>
      <c r="F110" s="3" t="s">
        <v>172</v>
      </c>
      <c r="G110" s="8" t="s">
        <v>55</v>
      </c>
      <c r="H110" s="8">
        <v>0.5</v>
      </c>
      <c r="I110" s="8" t="s">
        <v>767</v>
      </c>
      <c r="J110" s="3" t="s">
        <v>772</v>
      </c>
      <c r="K110" s="8" t="s">
        <v>475</v>
      </c>
      <c r="L110" s="13">
        <v>0</v>
      </c>
      <c r="M110" s="8"/>
      <c r="N110" s="8"/>
    </row>
    <row r="111" spans="1:14" ht="51" customHeight="1">
      <c r="A111" s="8" t="s">
        <v>773</v>
      </c>
      <c r="B111" s="8" t="s">
        <v>170</v>
      </c>
      <c r="C111" s="8" t="s">
        <v>153</v>
      </c>
      <c r="D111" s="8" t="s">
        <v>160</v>
      </c>
      <c r="E111" s="8" t="s">
        <v>774</v>
      </c>
      <c r="F111" s="3" t="s">
        <v>172</v>
      </c>
      <c r="G111" s="8" t="s">
        <v>55</v>
      </c>
      <c r="H111" s="8">
        <v>1</v>
      </c>
      <c r="I111" s="8" t="s">
        <v>770</v>
      </c>
      <c r="J111" s="3" t="s">
        <v>174</v>
      </c>
      <c r="K111" s="8" t="s">
        <v>475</v>
      </c>
      <c r="L111" s="13">
        <v>0</v>
      </c>
      <c r="M111" s="8"/>
      <c r="N111" s="8"/>
    </row>
    <row r="112" spans="1:14" ht="51" customHeight="1">
      <c r="A112" s="8" t="s">
        <v>775</v>
      </c>
      <c r="B112" s="8" t="s">
        <v>170</v>
      </c>
      <c r="C112" s="8" t="s">
        <v>153</v>
      </c>
      <c r="D112" s="8" t="s">
        <v>160</v>
      </c>
      <c r="E112" s="8" t="s">
        <v>776</v>
      </c>
      <c r="F112" s="3" t="s">
        <v>172</v>
      </c>
      <c r="G112" s="8" t="s">
        <v>55</v>
      </c>
      <c r="H112" s="8">
        <v>1</v>
      </c>
      <c r="I112" s="8" t="s">
        <v>773</v>
      </c>
      <c r="J112" s="3" t="s">
        <v>777</v>
      </c>
      <c r="K112" s="8" t="s">
        <v>475</v>
      </c>
      <c r="L112" s="13">
        <v>0</v>
      </c>
      <c r="M112" s="8"/>
      <c r="N112" s="8"/>
    </row>
    <row r="113" spans="1:14" ht="51" customHeight="1">
      <c r="A113" s="8" t="s">
        <v>778</v>
      </c>
      <c r="B113" s="8" t="s">
        <v>170</v>
      </c>
      <c r="C113" s="8" t="s">
        <v>153</v>
      </c>
      <c r="D113" s="8" t="s">
        <v>160</v>
      </c>
      <c r="E113" s="8" t="s">
        <v>779</v>
      </c>
      <c r="F113" s="3" t="s">
        <v>172</v>
      </c>
      <c r="G113" s="8" t="s">
        <v>55</v>
      </c>
      <c r="H113" s="8">
        <v>0.5</v>
      </c>
      <c r="I113" s="8" t="s">
        <v>775</v>
      </c>
      <c r="J113" s="3" t="s">
        <v>780</v>
      </c>
      <c r="K113" s="8" t="s">
        <v>475</v>
      </c>
      <c r="L113" s="13">
        <v>0</v>
      </c>
      <c r="M113" s="8"/>
      <c r="N113" s="8"/>
    </row>
    <row r="114" spans="1:14" ht="51" customHeight="1">
      <c r="A114" s="8" t="s">
        <v>781</v>
      </c>
      <c r="B114" s="8" t="s">
        <v>175</v>
      </c>
      <c r="C114" s="8" t="s">
        <v>153</v>
      </c>
      <c r="D114" s="8" t="s">
        <v>160</v>
      </c>
      <c r="E114" s="8" t="s">
        <v>782</v>
      </c>
      <c r="F114" s="3" t="s">
        <v>177</v>
      </c>
      <c r="G114" s="8" t="s">
        <v>89</v>
      </c>
      <c r="H114" s="8">
        <v>1</v>
      </c>
      <c r="I114" s="8" t="s">
        <v>778</v>
      </c>
      <c r="J114" s="3" t="s">
        <v>783</v>
      </c>
      <c r="K114" s="8" t="s">
        <v>475</v>
      </c>
      <c r="L114" s="13">
        <v>0</v>
      </c>
      <c r="M114" s="8"/>
      <c r="N114" s="8"/>
    </row>
    <row r="115" spans="1:14" ht="51" customHeight="1">
      <c r="A115" s="8" t="s">
        <v>784</v>
      </c>
      <c r="B115" s="8" t="s">
        <v>175</v>
      </c>
      <c r="C115" s="8" t="s">
        <v>153</v>
      </c>
      <c r="D115" s="8" t="s">
        <v>160</v>
      </c>
      <c r="E115" s="8" t="s">
        <v>785</v>
      </c>
      <c r="F115" s="3" t="s">
        <v>177</v>
      </c>
      <c r="G115" s="8" t="s">
        <v>89</v>
      </c>
      <c r="H115" s="8">
        <v>1</v>
      </c>
      <c r="I115" s="8" t="s">
        <v>781</v>
      </c>
      <c r="J115" s="3" t="s">
        <v>786</v>
      </c>
      <c r="K115" s="8" t="s">
        <v>475</v>
      </c>
      <c r="L115" s="13">
        <v>0</v>
      </c>
      <c r="M115" s="8"/>
      <c r="N115" s="8"/>
    </row>
    <row r="116" spans="1:14" ht="51" customHeight="1">
      <c r="A116" s="8" t="s">
        <v>787</v>
      </c>
      <c r="B116" s="8" t="s">
        <v>175</v>
      </c>
      <c r="C116" s="8" t="s">
        <v>153</v>
      </c>
      <c r="D116" s="8" t="s">
        <v>160</v>
      </c>
      <c r="E116" s="8" t="s">
        <v>788</v>
      </c>
      <c r="F116" s="3" t="s">
        <v>177</v>
      </c>
      <c r="G116" s="8" t="s">
        <v>89</v>
      </c>
      <c r="H116" s="8">
        <v>1</v>
      </c>
      <c r="I116" s="8" t="s">
        <v>784</v>
      </c>
      <c r="J116" s="3" t="s">
        <v>179</v>
      </c>
      <c r="K116" s="8" t="s">
        <v>475</v>
      </c>
      <c r="L116" s="13">
        <v>0</v>
      </c>
      <c r="M116" s="8"/>
      <c r="N116" s="8"/>
    </row>
    <row r="117" spans="1:14" ht="51" customHeight="1">
      <c r="A117" s="8" t="s">
        <v>789</v>
      </c>
      <c r="B117" s="8" t="s">
        <v>175</v>
      </c>
      <c r="C117" s="8" t="s">
        <v>153</v>
      </c>
      <c r="D117" s="8" t="s">
        <v>160</v>
      </c>
      <c r="E117" s="8" t="s">
        <v>790</v>
      </c>
      <c r="F117" s="3" t="s">
        <v>177</v>
      </c>
      <c r="G117" s="8" t="s">
        <v>89</v>
      </c>
      <c r="H117" s="8">
        <v>1</v>
      </c>
      <c r="I117" s="8" t="s">
        <v>787</v>
      </c>
      <c r="J117" s="3" t="s">
        <v>791</v>
      </c>
      <c r="K117" s="8" t="s">
        <v>475</v>
      </c>
      <c r="L117" s="13">
        <v>0</v>
      </c>
      <c r="M117" s="8"/>
      <c r="N117" s="8"/>
    </row>
    <row r="118" spans="1:14" ht="51" customHeight="1">
      <c r="A118" s="8" t="s">
        <v>792</v>
      </c>
      <c r="B118" s="8" t="s">
        <v>175</v>
      </c>
      <c r="C118" s="8" t="s">
        <v>153</v>
      </c>
      <c r="D118" s="8" t="s">
        <v>160</v>
      </c>
      <c r="E118" s="8" t="s">
        <v>793</v>
      </c>
      <c r="F118" s="3" t="s">
        <v>177</v>
      </c>
      <c r="G118" s="8" t="s">
        <v>89</v>
      </c>
      <c r="H118" s="8">
        <v>0.5</v>
      </c>
      <c r="I118" s="8" t="s">
        <v>789</v>
      </c>
      <c r="J118" s="3" t="s">
        <v>794</v>
      </c>
      <c r="K118" s="8" t="s">
        <v>475</v>
      </c>
      <c r="L118" s="13">
        <v>0</v>
      </c>
      <c r="M118" s="8"/>
      <c r="N118" s="8"/>
    </row>
    <row r="119" spans="1:14" ht="51" customHeight="1">
      <c r="A119" s="8" t="s">
        <v>795</v>
      </c>
      <c r="B119" s="8" t="s">
        <v>180</v>
      </c>
      <c r="C119" s="8" t="s">
        <v>153</v>
      </c>
      <c r="D119" s="8" t="s">
        <v>160</v>
      </c>
      <c r="E119" s="8" t="s">
        <v>796</v>
      </c>
      <c r="F119" s="3" t="s">
        <v>182</v>
      </c>
      <c r="G119" s="8" t="s">
        <v>89</v>
      </c>
      <c r="H119" s="8">
        <v>1</v>
      </c>
      <c r="I119" s="8" t="s">
        <v>792</v>
      </c>
      <c r="J119" s="3" t="s">
        <v>797</v>
      </c>
      <c r="K119" s="8" t="s">
        <v>475</v>
      </c>
      <c r="L119" s="13">
        <v>0</v>
      </c>
      <c r="M119" s="8"/>
      <c r="N119" s="8"/>
    </row>
    <row r="120" spans="1:14" ht="51" customHeight="1">
      <c r="A120" s="8" t="s">
        <v>798</v>
      </c>
      <c r="B120" s="8" t="s">
        <v>180</v>
      </c>
      <c r="C120" s="8" t="s">
        <v>153</v>
      </c>
      <c r="D120" s="8" t="s">
        <v>160</v>
      </c>
      <c r="E120" s="8" t="s">
        <v>799</v>
      </c>
      <c r="F120" s="3" t="s">
        <v>182</v>
      </c>
      <c r="G120" s="8" t="s">
        <v>89</v>
      </c>
      <c r="H120" s="8">
        <v>1</v>
      </c>
      <c r="I120" s="8" t="s">
        <v>795</v>
      </c>
      <c r="J120" s="3" t="s">
        <v>800</v>
      </c>
      <c r="K120" s="8" t="s">
        <v>475</v>
      </c>
      <c r="L120" s="13">
        <v>0</v>
      </c>
      <c r="M120" s="8"/>
      <c r="N120" s="8"/>
    </row>
    <row r="121" spans="1:14" ht="51" customHeight="1">
      <c r="A121" s="8" t="s">
        <v>801</v>
      </c>
      <c r="B121" s="8" t="s">
        <v>180</v>
      </c>
      <c r="C121" s="8" t="s">
        <v>153</v>
      </c>
      <c r="D121" s="8" t="s">
        <v>160</v>
      </c>
      <c r="E121" s="8" t="s">
        <v>802</v>
      </c>
      <c r="F121" s="3" t="s">
        <v>182</v>
      </c>
      <c r="G121" s="8" t="s">
        <v>89</v>
      </c>
      <c r="H121" s="8">
        <v>1</v>
      </c>
      <c r="I121" s="8" t="s">
        <v>798</v>
      </c>
      <c r="J121" s="3" t="s">
        <v>184</v>
      </c>
      <c r="K121" s="8" t="s">
        <v>475</v>
      </c>
      <c r="L121" s="13">
        <v>0</v>
      </c>
      <c r="M121" s="8"/>
      <c r="N121" s="8"/>
    </row>
    <row r="122" spans="1:14" ht="51" customHeight="1">
      <c r="A122" s="8" t="s">
        <v>803</v>
      </c>
      <c r="B122" s="8" t="s">
        <v>180</v>
      </c>
      <c r="C122" s="8" t="s">
        <v>153</v>
      </c>
      <c r="D122" s="8" t="s">
        <v>160</v>
      </c>
      <c r="E122" s="8" t="s">
        <v>804</v>
      </c>
      <c r="F122" s="3" t="s">
        <v>182</v>
      </c>
      <c r="G122" s="8" t="s">
        <v>89</v>
      </c>
      <c r="H122" s="8">
        <v>1</v>
      </c>
      <c r="I122" s="8" t="s">
        <v>801</v>
      </c>
      <c r="J122" s="3" t="s">
        <v>805</v>
      </c>
      <c r="K122" s="8" t="s">
        <v>475</v>
      </c>
      <c r="L122" s="13">
        <v>0</v>
      </c>
      <c r="M122" s="8"/>
      <c r="N122" s="8"/>
    </row>
    <row r="123" spans="1:14" ht="51" customHeight="1">
      <c r="A123" s="8" t="s">
        <v>806</v>
      </c>
      <c r="B123" s="8" t="s">
        <v>180</v>
      </c>
      <c r="C123" s="8" t="s">
        <v>153</v>
      </c>
      <c r="D123" s="8" t="s">
        <v>160</v>
      </c>
      <c r="E123" s="8" t="s">
        <v>807</v>
      </c>
      <c r="F123" s="3" t="s">
        <v>182</v>
      </c>
      <c r="G123" s="8" t="s">
        <v>89</v>
      </c>
      <c r="H123" s="8">
        <v>0.5</v>
      </c>
      <c r="I123" s="8" t="s">
        <v>803</v>
      </c>
      <c r="J123" s="3" t="s">
        <v>808</v>
      </c>
      <c r="K123" s="8" t="s">
        <v>475</v>
      </c>
      <c r="L123" s="13">
        <v>0</v>
      </c>
      <c r="M123" s="8"/>
      <c r="N123" s="8"/>
    </row>
    <row r="124" spans="1:14" ht="51" customHeight="1">
      <c r="A124" s="8" t="s">
        <v>809</v>
      </c>
      <c r="B124" s="8" t="s">
        <v>185</v>
      </c>
      <c r="C124" s="8" t="s">
        <v>153</v>
      </c>
      <c r="D124" s="8" t="s">
        <v>186</v>
      </c>
      <c r="E124" s="8" t="s">
        <v>810</v>
      </c>
      <c r="F124" s="3" t="s">
        <v>188</v>
      </c>
      <c r="G124" s="8" t="s">
        <v>55</v>
      </c>
      <c r="H124" s="8">
        <v>1</v>
      </c>
      <c r="I124" s="8" t="s">
        <v>806</v>
      </c>
      <c r="J124" s="3" t="s">
        <v>811</v>
      </c>
      <c r="K124" s="8" t="s">
        <v>475</v>
      </c>
      <c r="L124" s="13">
        <v>0</v>
      </c>
      <c r="M124" s="8"/>
      <c r="N124" s="8"/>
    </row>
    <row r="125" spans="1:14" ht="51" customHeight="1">
      <c r="A125" s="8" t="s">
        <v>812</v>
      </c>
      <c r="B125" s="8" t="s">
        <v>185</v>
      </c>
      <c r="C125" s="8" t="s">
        <v>153</v>
      </c>
      <c r="D125" s="8" t="s">
        <v>186</v>
      </c>
      <c r="E125" s="8" t="s">
        <v>813</v>
      </c>
      <c r="F125" s="3" t="s">
        <v>188</v>
      </c>
      <c r="G125" s="8" t="s">
        <v>55</v>
      </c>
      <c r="H125" s="8">
        <v>1</v>
      </c>
      <c r="I125" s="8" t="s">
        <v>809</v>
      </c>
      <c r="J125" s="3" t="s">
        <v>814</v>
      </c>
      <c r="K125" s="8" t="s">
        <v>475</v>
      </c>
      <c r="L125" s="13">
        <v>0</v>
      </c>
      <c r="M125" s="8"/>
      <c r="N125" s="8"/>
    </row>
    <row r="126" spans="1:14" ht="51" customHeight="1">
      <c r="A126" s="8" t="s">
        <v>815</v>
      </c>
      <c r="B126" s="8" t="s">
        <v>185</v>
      </c>
      <c r="C126" s="8" t="s">
        <v>153</v>
      </c>
      <c r="D126" s="8" t="s">
        <v>186</v>
      </c>
      <c r="E126" s="8" t="s">
        <v>816</v>
      </c>
      <c r="F126" s="3" t="s">
        <v>188</v>
      </c>
      <c r="G126" s="8" t="s">
        <v>55</v>
      </c>
      <c r="H126" s="8">
        <v>1.5</v>
      </c>
      <c r="I126" s="8" t="s">
        <v>812</v>
      </c>
      <c r="J126" s="3" t="s">
        <v>190</v>
      </c>
      <c r="K126" s="8" t="s">
        <v>475</v>
      </c>
      <c r="L126" s="13">
        <v>0</v>
      </c>
      <c r="M126" s="8"/>
      <c r="N126" s="8"/>
    </row>
    <row r="127" spans="1:14" ht="51" customHeight="1">
      <c r="A127" s="8" t="s">
        <v>817</v>
      </c>
      <c r="B127" s="8" t="s">
        <v>185</v>
      </c>
      <c r="C127" s="8" t="s">
        <v>153</v>
      </c>
      <c r="D127" s="8" t="s">
        <v>186</v>
      </c>
      <c r="E127" s="8" t="s">
        <v>818</v>
      </c>
      <c r="F127" s="3" t="s">
        <v>188</v>
      </c>
      <c r="G127" s="8" t="s">
        <v>55</v>
      </c>
      <c r="H127" s="8">
        <v>1</v>
      </c>
      <c r="I127" s="8" t="s">
        <v>815</v>
      </c>
      <c r="J127" s="3" t="s">
        <v>819</v>
      </c>
      <c r="K127" s="8" t="s">
        <v>475</v>
      </c>
      <c r="L127" s="13">
        <v>0</v>
      </c>
      <c r="M127" s="8"/>
      <c r="N127" s="8"/>
    </row>
    <row r="128" spans="1:14" ht="51" customHeight="1">
      <c r="A128" s="8" t="s">
        <v>820</v>
      </c>
      <c r="B128" s="8" t="s">
        <v>185</v>
      </c>
      <c r="C128" s="8" t="s">
        <v>153</v>
      </c>
      <c r="D128" s="8" t="s">
        <v>186</v>
      </c>
      <c r="E128" s="8" t="s">
        <v>821</v>
      </c>
      <c r="F128" s="3" t="s">
        <v>188</v>
      </c>
      <c r="G128" s="8" t="s">
        <v>55</v>
      </c>
      <c r="H128" s="8">
        <v>0.5</v>
      </c>
      <c r="I128" s="8" t="s">
        <v>817</v>
      </c>
      <c r="J128" s="3" t="s">
        <v>822</v>
      </c>
      <c r="K128" s="8" t="s">
        <v>475</v>
      </c>
      <c r="L128" s="13">
        <v>0</v>
      </c>
      <c r="M128" s="8"/>
      <c r="N128" s="8"/>
    </row>
    <row r="129" spans="1:14" ht="51" customHeight="1">
      <c r="A129" s="8" t="s">
        <v>823</v>
      </c>
      <c r="B129" s="8" t="s">
        <v>191</v>
      </c>
      <c r="C129" s="8" t="s">
        <v>192</v>
      </c>
      <c r="D129" s="8" t="s">
        <v>193</v>
      </c>
      <c r="E129" s="8" t="s">
        <v>824</v>
      </c>
      <c r="F129" s="3" t="s">
        <v>195</v>
      </c>
      <c r="G129" s="8" t="s">
        <v>55</v>
      </c>
      <c r="H129" s="8">
        <v>0.5</v>
      </c>
      <c r="I129" s="8" t="s">
        <v>820</v>
      </c>
      <c r="J129" s="3" t="s">
        <v>825</v>
      </c>
      <c r="K129" s="8" t="s">
        <v>475</v>
      </c>
      <c r="L129" s="13">
        <v>0</v>
      </c>
      <c r="M129" s="8"/>
      <c r="N129" s="8"/>
    </row>
    <row r="130" spans="1:14" ht="51" customHeight="1">
      <c r="A130" s="8" t="s">
        <v>826</v>
      </c>
      <c r="B130" s="8" t="s">
        <v>191</v>
      </c>
      <c r="C130" s="8" t="s">
        <v>192</v>
      </c>
      <c r="D130" s="8" t="s">
        <v>193</v>
      </c>
      <c r="E130" s="8" t="s">
        <v>827</v>
      </c>
      <c r="F130" s="3" t="s">
        <v>195</v>
      </c>
      <c r="G130" s="8" t="s">
        <v>55</v>
      </c>
      <c r="H130" s="8">
        <v>0.5</v>
      </c>
      <c r="I130" s="8" t="s">
        <v>823</v>
      </c>
      <c r="J130" s="3" t="s">
        <v>828</v>
      </c>
      <c r="K130" s="8" t="s">
        <v>475</v>
      </c>
      <c r="L130" s="13">
        <v>0</v>
      </c>
      <c r="M130" s="8"/>
      <c r="N130" s="8"/>
    </row>
    <row r="131" spans="1:14" ht="51" customHeight="1">
      <c r="A131" s="8" t="s">
        <v>829</v>
      </c>
      <c r="B131" s="8" t="s">
        <v>191</v>
      </c>
      <c r="C131" s="8" t="s">
        <v>192</v>
      </c>
      <c r="D131" s="8" t="s">
        <v>193</v>
      </c>
      <c r="E131" s="8" t="s">
        <v>830</v>
      </c>
      <c r="F131" s="3" t="s">
        <v>195</v>
      </c>
      <c r="G131" s="8" t="s">
        <v>55</v>
      </c>
      <c r="H131" s="8">
        <v>2</v>
      </c>
      <c r="I131" s="8" t="s">
        <v>826</v>
      </c>
      <c r="J131" s="3" t="s">
        <v>197</v>
      </c>
      <c r="K131" s="8" t="s">
        <v>475</v>
      </c>
      <c r="L131" s="13">
        <v>0</v>
      </c>
      <c r="M131" s="8"/>
      <c r="N131" s="8"/>
    </row>
    <row r="132" spans="1:14" ht="51" customHeight="1">
      <c r="A132" s="8" t="s">
        <v>831</v>
      </c>
      <c r="B132" s="8" t="s">
        <v>191</v>
      </c>
      <c r="C132" s="8" t="s">
        <v>192</v>
      </c>
      <c r="D132" s="8" t="s">
        <v>193</v>
      </c>
      <c r="E132" s="8" t="s">
        <v>832</v>
      </c>
      <c r="F132" s="3" t="s">
        <v>195</v>
      </c>
      <c r="G132" s="8" t="s">
        <v>55</v>
      </c>
      <c r="H132" s="8">
        <v>1</v>
      </c>
      <c r="I132" s="8" t="s">
        <v>829</v>
      </c>
      <c r="J132" s="3" t="s">
        <v>833</v>
      </c>
      <c r="K132" s="8" t="s">
        <v>475</v>
      </c>
      <c r="L132" s="13">
        <v>0</v>
      </c>
      <c r="M132" s="8"/>
      <c r="N132" s="8"/>
    </row>
    <row r="133" spans="1:14" ht="51" customHeight="1">
      <c r="A133" s="8" t="s">
        <v>834</v>
      </c>
      <c r="B133" s="8" t="s">
        <v>191</v>
      </c>
      <c r="C133" s="8" t="s">
        <v>192</v>
      </c>
      <c r="D133" s="8" t="s">
        <v>193</v>
      </c>
      <c r="E133" s="8" t="s">
        <v>835</v>
      </c>
      <c r="F133" s="3" t="s">
        <v>195</v>
      </c>
      <c r="G133" s="8" t="s">
        <v>55</v>
      </c>
      <c r="H133" s="8">
        <v>0.5</v>
      </c>
      <c r="I133" s="8" t="s">
        <v>831</v>
      </c>
      <c r="J133" s="3" t="s">
        <v>836</v>
      </c>
      <c r="K133" s="8" t="s">
        <v>475</v>
      </c>
      <c r="L133" s="13">
        <v>0</v>
      </c>
      <c r="M133" s="8"/>
      <c r="N133" s="8"/>
    </row>
    <row r="134" spans="1:14" ht="51" customHeight="1">
      <c r="A134" s="8" t="s">
        <v>837</v>
      </c>
      <c r="B134" s="8" t="s">
        <v>198</v>
      </c>
      <c r="C134" s="8" t="s">
        <v>192</v>
      </c>
      <c r="D134" s="8" t="s">
        <v>193</v>
      </c>
      <c r="E134" s="8" t="s">
        <v>838</v>
      </c>
      <c r="F134" s="3" t="s">
        <v>200</v>
      </c>
      <c r="G134" s="8" t="s">
        <v>55</v>
      </c>
      <c r="H134" s="8">
        <v>1</v>
      </c>
      <c r="I134" s="8" t="s">
        <v>834</v>
      </c>
      <c r="J134" s="3" t="s">
        <v>839</v>
      </c>
      <c r="K134" s="8" t="s">
        <v>475</v>
      </c>
      <c r="L134" s="13">
        <v>0</v>
      </c>
      <c r="M134" s="8"/>
      <c r="N134" s="8"/>
    </row>
    <row r="135" spans="1:14" ht="51" customHeight="1">
      <c r="A135" s="8" t="s">
        <v>840</v>
      </c>
      <c r="B135" s="8" t="s">
        <v>198</v>
      </c>
      <c r="C135" s="8" t="s">
        <v>192</v>
      </c>
      <c r="D135" s="8" t="s">
        <v>193</v>
      </c>
      <c r="E135" s="8" t="s">
        <v>841</v>
      </c>
      <c r="F135" s="3" t="s">
        <v>200</v>
      </c>
      <c r="G135" s="8" t="s">
        <v>55</v>
      </c>
      <c r="H135" s="8">
        <v>1</v>
      </c>
      <c r="I135" s="8" t="s">
        <v>837</v>
      </c>
      <c r="J135" s="3" t="s">
        <v>842</v>
      </c>
      <c r="K135" s="8" t="s">
        <v>475</v>
      </c>
      <c r="L135" s="13">
        <v>0</v>
      </c>
      <c r="M135" s="8"/>
      <c r="N135" s="8"/>
    </row>
    <row r="136" spans="1:14" ht="51" customHeight="1">
      <c r="A136" s="8" t="s">
        <v>843</v>
      </c>
      <c r="B136" s="8" t="s">
        <v>198</v>
      </c>
      <c r="C136" s="8" t="s">
        <v>192</v>
      </c>
      <c r="D136" s="8" t="s">
        <v>193</v>
      </c>
      <c r="E136" s="8" t="s">
        <v>844</v>
      </c>
      <c r="F136" s="3" t="s">
        <v>200</v>
      </c>
      <c r="G136" s="8" t="s">
        <v>55</v>
      </c>
      <c r="H136" s="8">
        <v>2</v>
      </c>
      <c r="I136" s="8" t="s">
        <v>840</v>
      </c>
      <c r="J136" s="3" t="s">
        <v>202</v>
      </c>
      <c r="K136" s="8" t="s">
        <v>475</v>
      </c>
      <c r="L136" s="13">
        <v>0</v>
      </c>
      <c r="M136" s="8"/>
      <c r="N136" s="8"/>
    </row>
    <row r="137" spans="1:14" ht="51" customHeight="1">
      <c r="A137" s="8" t="s">
        <v>845</v>
      </c>
      <c r="B137" s="8" t="s">
        <v>198</v>
      </c>
      <c r="C137" s="8" t="s">
        <v>192</v>
      </c>
      <c r="D137" s="8" t="s">
        <v>193</v>
      </c>
      <c r="E137" s="8" t="s">
        <v>846</v>
      </c>
      <c r="F137" s="3" t="s">
        <v>200</v>
      </c>
      <c r="G137" s="8" t="s">
        <v>55</v>
      </c>
      <c r="H137" s="8">
        <v>1</v>
      </c>
      <c r="I137" s="8" t="s">
        <v>843</v>
      </c>
      <c r="J137" s="3" t="s">
        <v>847</v>
      </c>
      <c r="K137" s="8" t="s">
        <v>475</v>
      </c>
      <c r="L137" s="13">
        <v>0</v>
      </c>
      <c r="M137" s="8"/>
      <c r="N137" s="8"/>
    </row>
    <row r="138" spans="1:14" ht="51" customHeight="1">
      <c r="A138" s="8" t="s">
        <v>848</v>
      </c>
      <c r="B138" s="8" t="s">
        <v>198</v>
      </c>
      <c r="C138" s="8" t="s">
        <v>192</v>
      </c>
      <c r="D138" s="8" t="s">
        <v>193</v>
      </c>
      <c r="E138" s="8" t="s">
        <v>849</v>
      </c>
      <c r="F138" s="3" t="s">
        <v>200</v>
      </c>
      <c r="G138" s="8" t="s">
        <v>55</v>
      </c>
      <c r="H138" s="8">
        <v>0.5</v>
      </c>
      <c r="I138" s="8" t="s">
        <v>845</v>
      </c>
      <c r="J138" s="3" t="s">
        <v>850</v>
      </c>
      <c r="K138" s="8" t="s">
        <v>475</v>
      </c>
      <c r="L138" s="13">
        <v>0</v>
      </c>
      <c r="M138" s="8"/>
      <c r="N138" s="8"/>
    </row>
    <row r="139" spans="1:14" ht="51" customHeight="1">
      <c r="A139" s="8" t="s">
        <v>851</v>
      </c>
      <c r="B139" s="8" t="s">
        <v>203</v>
      </c>
      <c r="C139" s="8" t="s">
        <v>192</v>
      </c>
      <c r="D139" s="8" t="s">
        <v>193</v>
      </c>
      <c r="E139" s="8" t="s">
        <v>852</v>
      </c>
      <c r="F139" s="3" t="s">
        <v>205</v>
      </c>
      <c r="G139" s="8" t="s">
        <v>55</v>
      </c>
      <c r="H139" s="8">
        <v>1</v>
      </c>
      <c r="I139" s="8" t="s">
        <v>848</v>
      </c>
      <c r="J139" s="3" t="s">
        <v>853</v>
      </c>
      <c r="K139" s="8" t="s">
        <v>475</v>
      </c>
      <c r="L139" s="13">
        <v>0</v>
      </c>
      <c r="M139" s="8"/>
      <c r="N139" s="8"/>
    </row>
    <row r="140" spans="1:14" ht="51" customHeight="1">
      <c r="A140" s="8" t="s">
        <v>854</v>
      </c>
      <c r="B140" s="8" t="s">
        <v>203</v>
      </c>
      <c r="C140" s="8" t="s">
        <v>192</v>
      </c>
      <c r="D140" s="8" t="s">
        <v>193</v>
      </c>
      <c r="E140" s="8" t="s">
        <v>855</v>
      </c>
      <c r="F140" s="3" t="s">
        <v>205</v>
      </c>
      <c r="G140" s="8" t="s">
        <v>55</v>
      </c>
      <c r="H140" s="8">
        <v>1</v>
      </c>
      <c r="I140" s="8" t="s">
        <v>851</v>
      </c>
      <c r="J140" s="3" t="s">
        <v>856</v>
      </c>
      <c r="K140" s="8" t="s">
        <v>475</v>
      </c>
      <c r="L140" s="13">
        <v>0</v>
      </c>
      <c r="M140" s="8"/>
      <c r="N140" s="8"/>
    </row>
    <row r="141" spans="1:14" ht="51" customHeight="1">
      <c r="A141" s="8" t="s">
        <v>857</v>
      </c>
      <c r="B141" s="8" t="s">
        <v>203</v>
      </c>
      <c r="C141" s="8" t="s">
        <v>192</v>
      </c>
      <c r="D141" s="8" t="s">
        <v>193</v>
      </c>
      <c r="E141" s="8" t="s">
        <v>858</v>
      </c>
      <c r="F141" s="3" t="s">
        <v>205</v>
      </c>
      <c r="G141" s="8" t="s">
        <v>55</v>
      </c>
      <c r="H141" s="8">
        <v>1</v>
      </c>
      <c r="I141" s="8" t="s">
        <v>854</v>
      </c>
      <c r="J141" s="3" t="s">
        <v>207</v>
      </c>
      <c r="K141" s="8" t="s">
        <v>475</v>
      </c>
      <c r="L141" s="13">
        <v>0</v>
      </c>
      <c r="M141" s="8"/>
      <c r="N141" s="8"/>
    </row>
    <row r="142" spans="1:14" ht="51" customHeight="1">
      <c r="A142" s="8" t="s">
        <v>859</v>
      </c>
      <c r="B142" s="8" t="s">
        <v>203</v>
      </c>
      <c r="C142" s="8" t="s">
        <v>192</v>
      </c>
      <c r="D142" s="8" t="s">
        <v>193</v>
      </c>
      <c r="E142" s="8" t="s">
        <v>860</v>
      </c>
      <c r="F142" s="3" t="s">
        <v>205</v>
      </c>
      <c r="G142" s="8" t="s">
        <v>55</v>
      </c>
      <c r="H142" s="8">
        <v>1</v>
      </c>
      <c r="I142" s="8" t="s">
        <v>857</v>
      </c>
      <c r="J142" s="3" t="s">
        <v>861</v>
      </c>
      <c r="K142" s="8" t="s">
        <v>475</v>
      </c>
      <c r="L142" s="13">
        <v>0</v>
      </c>
      <c r="M142" s="8"/>
      <c r="N142" s="8"/>
    </row>
    <row r="143" spans="1:14" ht="51" customHeight="1">
      <c r="A143" s="8" t="s">
        <v>862</v>
      </c>
      <c r="B143" s="8" t="s">
        <v>203</v>
      </c>
      <c r="C143" s="8" t="s">
        <v>192</v>
      </c>
      <c r="D143" s="8" t="s">
        <v>193</v>
      </c>
      <c r="E143" s="8" t="s">
        <v>863</v>
      </c>
      <c r="F143" s="3" t="s">
        <v>205</v>
      </c>
      <c r="G143" s="8" t="s">
        <v>55</v>
      </c>
      <c r="H143" s="8">
        <v>0.5</v>
      </c>
      <c r="I143" s="8" t="s">
        <v>859</v>
      </c>
      <c r="J143" s="3" t="s">
        <v>864</v>
      </c>
      <c r="K143" s="8" t="s">
        <v>475</v>
      </c>
      <c r="L143" s="13">
        <v>0</v>
      </c>
      <c r="M143" s="8"/>
      <c r="N143" s="8"/>
    </row>
    <row r="144" spans="1:14" ht="51" customHeight="1">
      <c r="A144" s="8" t="s">
        <v>865</v>
      </c>
      <c r="B144" s="8" t="s">
        <v>208</v>
      </c>
      <c r="C144" s="8" t="s">
        <v>192</v>
      </c>
      <c r="D144" s="8" t="s">
        <v>193</v>
      </c>
      <c r="E144" s="8" t="s">
        <v>866</v>
      </c>
      <c r="F144" s="3" t="s">
        <v>210</v>
      </c>
      <c r="G144" s="8" t="s">
        <v>89</v>
      </c>
      <c r="H144" s="8">
        <v>1</v>
      </c>
      <c r="I144" s="8" t="s">
        <v>862</v>
      </c>
      <c r="J144" s="3" t="s">
        <v>867</v>
      </c>
      <c r="K144" s="8" t="s">
        <v>475</v>
      </c>
      <c r="L144" s="13">
        <v>0</v>
      </c>
      <c r="M144" s="8"/>
      <c r="N144" s="8"/>
    </row>
    <row r="145" spans="1:14" ht="51" customHeight="1">
      <c r="A145" s="8" t="s">
        <v>868</v>
      </c>
      <c r="B145" s="8" t="s">
        <v>208</v>
      </c>
      <c r="C145" s="8" t="s">
        <v>192</v>
      </c>
      <c r="D145" s="8" t="s">
        <v>193</v>
      </c>
      <c r="E145" s="8" t="s">
        <v>869</v>
      </c>
      <c r="F145" s="3" t="s">
        <v>210</v>
      </c>
      <c r="G145" s="8" t="s">
        <v>89</v>
      </c>
      <c r="H145" s="8">
        <v>0.5</v>
      </c>
      <c r="I145" s="8" t="s">
        <v>865</v>
      </c>
      <c r="J145" s="3" t="s">
        <v>870</v>
      </c>
      <c r="K145" s="8" t="s">
        <v>475</v>
      </c>
      <c r="L145" s="13">
        <v>0</v>
      </c>
      <c r="M145" s="8"/>
      <c r="N145" s="8"/>
    </row>
    <row r="146" spans="1:14" ht="51" customHeight="1">
      <c r="A146" s="8" t="s">
        <v>871</v>
      </c>
      <c r="B146" s="8" t="s">
        <v>208</v>
      </c>
      <c r="C146" s="8" t="s">
        <v>192</v>
      </c>
      <c r="D146" s="8" t="s">
        <v>193</v>
      </c>
      <c r="E146" s="8" t="s">
        <v>872</v>
      </c>
      <c r="F146" s="3" t="s">
        <v>210</v>
      </c>
      <c r="G146" s="8" t="s">
        <v>89</v>
      </c>
      <c r="H146" s="8">
        <v>1</v>
      </c>
      <c r="I146" s="8" t="s">
        <v>868</v>
      </c>
      <c r="J146" s="3" t="s">
        <v>212</v>
      </c>
      <c r="K146" s="8" t="s">
        <v>475</v>
      </c>
      <c r="L146" s="13">
        <v>0</v>
      </c>
      <c r="M146" s="8"/>
      <c r="N146" s="8"/>
    </row>
    <row r="147" spans="1:14" ht="51" customHeight="1">
      <c r="A147" s="8" t="s">
        <v>873</v>
      </c>
      <c r="B147" s="8" t="s">
        <v>208</v>
      </c>
      <c r="C147" s="8" t="s">
        <v>192</v>
      </c>
      <c r="D147" s="8" t="s">
        <v>193</v>
      </c>
      <c r="E147" s="8" t="s">
        <v>874</v>
      </c>
      <c r="F147" s="3" t="s">
        <v>210</v>
      </c>
      <c r="G147" s="8" t="s">
        <v>89</v>
      </c>
      <c r="H147" s="8">
        <v>1</v>
      </c>
      <c r="I147" s="8" t="s">
        <v>871</v>
      </c>
      <c r="J147" s="3" t="s">
        <v>875</v>
      </c>
      <c r="K147" s="8" t="s">
        <v>475</v>
      </c>
      <c r="L147" s="13">
        <v>0</v>
      </c>
      <c r="M147" s="8"/>
      <c r="N147" s="8"/>
    </row>
    <row r="148" spans="1:14" ht="51" customHeight="1">
      <c r="A148" s="8" t="s">
        <v>876</v>
      </c>
      <c r="B148" s="8" t="s">
        <v>208</v>
      </c>
      <c r="C148" s="8" t="s">
        <v>192</v>
      </c>
      <c r="D148" s="8" t="s">
        <v>193</v>
      </c>
      <c r="E148" s="8" t="s">
        <v>877</v>
      </c>
      <c r="F148" s="3" t="s">
        <v>210</v>
      </c>
      <c r="G148" s="8" t="s">
        <v>89</v>
      </c>
      <c r="H148" s="8">
        <v>0.5</v>
      </c>
      <c r="I148" s="8" t="s">
        <v>873</v>
      </c>
      <c r="J148" s="3" t="s">
        <v>878</v>
      </c>
      <c r="K148" s="8" t="s">
        <v>475</v>
      </c>
      <c r="L148" s="13">
        <v>0</v>
      </c>
      <c r="M148" s="8"/>
      <c r="N148" s="8"/>
    </row>
    <row r="149" spans="1:14" ht="51" customHeight="1">
      <c r="A149" s="8" t="s">
        <v>879</v>
      </c>
      <c r="B149" s="8" t="s">
        <v>213</v>
      </c>
      <c r="C149" s="8" t="s">
        <v>192</v>
      </c>
      <c r="D149" s="8" t="s">
        <v>193</v>
      </c>
      <c r="E149" s="8" t="s">
        <v>880</v>
      </c>
      <c r="F149" s="3" t="s">
        <v>215</v>
      </c>
      <c r="G149" s="8" t="s">
        <v>55</v>
      </c>
      <c r="H149" s="8">
        <v>1</v>
      </c>
      <c r="I149" s="8" t="s">
        <v>876</v>
      </c>
      <c r="J149" s="3" t="s">
        <v>881</v>
      </c>
      <c r="K149" s="8" t="s">
        <v>475</v>
      </c>
      <c r="L149" s="13">
        <v>0</v>
      </c>
      <c r="M149" s="8"/>
      <c r="N149" s="8"/>
    </row>
    <row r="150" spans="1:14" ht="51" customHeight="1">
      <c r="A150" s="8" t="s">
        <v>882</v>
      </c>
      <c r="B150" s="8" t="s">
        <v>213</v>
      </c>
      <c r="C150" s="8" t="s">
        <v>192</v>
      </c>
      <c r="D150" s="8" t="s">
        <v>193</v>
      </c>
      <c r="E150" s="8" t="s">
        <v>883</v>
      </c>
      <c r="F150" s="3" t="s">
        <v>215</v>
      </c>
      <c r="G150" s="8" t="s">
        <v>55</v>
      </c>
      <c r="H150" s="8">
        <v>0.5</v>
      </c>
      <c r="I150" s="8" t="s">
        <v>879</v>
      </c>
      <c r="J150" s="3" t="s">
        <v>884</v>
      </c>
      <c r="K150" s="8" t="s">
        <v>475</v>
      </c>
      <c r="L150" s="13">
        <v>0</v>
      </c>
      <c r="M150" s="8"/>
      <c r="N150" s="8"/>
    </row>
    <row r="151" spans="1:14" ht="51" customHeight="1">
      <c r="A151" s="8" t="s">
        <v>885</v>
      </c>
      <c r="B151" s="8" t="s">
        <v>213</v>
      </c>
      <c r="C151" s="8" t="s">
        <v>192</v>
      </c>
      <c r="D151" s="8" t="s">
        <v>193</v>
      </c>
      <c r="E151" s="8" t="s">
        <v>886</v>
      </c>
      <c r="F151" s="3" t="s">
        <v>215</v>
      </c>
      <c r="G151" s="8" t="s">
        <v>55</v>
      </c>
      <c r="H151" s="8">
        <v>2</v>
      </c>
      <c r="I151" s="8" t="s">
        <v>882</v>
      </c>
      <c r="J151" s="3" t="s">
        <v>217</v>
      </c>
      <c r="K151" s="8" t="s">
        <v>475</v>
      </c>
      <c r="L151" s="13">
        <v>0</v>
      </c>
      <c r="M151" s="8"/>
      <c r="N151" s="8"/>
    </row>
    <row r="152" spans="1:14" ht="51" customHeight="1">
      <c r="A152" s="8" t="s">
        <v>887</v>
      </c>
      <c r="B152" s="8" t="s">
        <v>213</v>
      </c>
      <c r="C152" s="8" t="s">
        <v>192</v>
      </c>
      <c r="D152" s="8" t="s">
        <v>193</v>
      </c>
      <c r="E152" s="8" t="s">
        <v>888</v>
      </c>
      <c r="F152" s="3" t="s">
        <v>215</v>
      </c>
      <c r="G152" s="8" t="s">
        <v>55</v>
      </c>
      <c r="H152" s="8">
        <v>1</v>
      </c>
      <c r="I152" s="8" t="s">
        <v>885</v>
      </c>
      <c r="J152" s="3" t="s">
        <v>889</v>
      </c>
      <c r="K152" s="8" t="s">
        <v>475</v>
      </c>
      <c r="L152" s="13">
        <v>0</v>
      </c>
      <c r="M152" s="8"/>
      <c r="N152" s="8"/>
    </row>
    <row r="153" spans="1:14" ht="51" customHeight="1">
      <c r="A153" s="8" t="s">
        <v>890</v>
      </c>
      <c r="B153" s="8" t="s">
        <v>213</v>
      </c>
      <c r="C153" s="8" t="s">
        <v>192</v>
      </c>
      <c r="D153" s="8" t="s">
        <v>193</v>
      </c>
      <c r="E153" s="8" t="s">
        <v>891</v>
      </c>
      <c r="F153" s="3" t="s">
        <v>215</v>
      </c>
      <c r="G153" s="8" t="s">
        <v>55</v>
      </c>
      <c r="H153" s="8">
        <v>0.5</v>
      </c>
      <c r="I153" s="8" t="s">
        <v>887</v>
      </c>
      <c r="J153" s="3" t="s">
        <v>892</v>
      </c>
      <c r="K153" s="8" t="s">
        <v>475</v>
      </c>
      <c r="L153" s="13">
        <v>0</v>
      </c>
      <c r="M153" s="8"/>
      <c r="N153" s="8"/>
    </row>
    <row r="154" spans="1:14" ht="51" customHeight="1">
      <c r="A154" s="8" t="s">
        <v>893</v>
      </c>
      <c r="B154" s="8" t="s">
        <v>218</v>
      </c>
      <c r="C154" s="8" t="s">
        <v>192</v>
      </c>
      <c r="D154" s="8" t="s">
        <v>193</v>
      </c>
      <c r="E154" s="8" t="s">
        <v>894</v>
      </c>
      <c r="F154" s="3" t="s">
        <v>220</v>
      </c>
      <c r="G154" s="8" t="s">
        <v>55</v>
      </c>
      <c r="H154" s="8">
        <v>0.5</v>
      </c>
      <c r="I154" s="8" t="s">
        <v>890</v>
      </c>
      <c r="J154" s="3" t="s">
        <v>895</v>
      </c>
      <c r="K154" s="8" t="s">
        <v>475</v>
      </c>
      <c r="L154" s="13">
        <v>0</v>
      </c>
      <c r="M154" s="8"/>
      <c r="N154" s="8"/>
    </row>
    <row r="155" spans="1:14" ht="51" customHeight="1">
      <c r="A155" s="8" t="s">
        <v>896</v>
      </c>
      <c r="B155" s="8" t="s">
        <v>218</v>
      </c>
      <c r="C155" s="8" t="s">
        <v>192</v>
      </c>
      <c r="D155" s="8" t="s">
        <v>193</v>
      </c>
      <c r="E155" s="8" t="s">
        <v>897</v>
      </c>
      <c r="F155" s="3" t="s">
        <v>220</v>
      </c>
      <c r="G155" s="8" t="s">
        <v>55</v>
      </c>
      <c r="H155" s="8">
        <v>1</v>
      </c>
      <c r="I155" s="8" t="s">
        <v>893</v>
      </c>
      <c r="J155" s="3" t="s">
        <v>898</v>
      </c>
      <c r="K155" s="8" t="s">
        <v>475</v>
      </c>
      <c r="L155" s="13">
        <v>0</v>
      </c>
      <c r="M155" s="8"/>
      <c r="N155" s="8"/>
    </row>
    <row r="156" spans="1:14" ht="51" customHeight="1">
      <c r="A156" s="8" t="s">
        <v>899</v>
      </c>
      <c r="B156" s="8" t="s">
        <v>218</v>
      </c>
      <c r="C156" s="8" t="s">
        <v>192</v>
      </c>
      <c r="D156" s="8" t="s">
        <v>193</v>
      </c>
      <c r="E156" s="8" t="s">
        <v>900</v>
      </c>
      <c r="F156" s="3" t="s">
        <v>220</v>
      </c>
      <c r="G156" s="8" t="s">
        <v>55</v>
      </c>
      <c r="H156" s="8">
        <v>1.5</v>
      </c>
      <c r="I156" s="8" t="s">
        <v>896</v>
      </c>
      <c r="J156" s="3" t="s">
        <v>222</v>
      </c>
      <c r="K156" s="8" t="s">
        <v>475</v>
      </c>
      <c r="L156" s="13">
        <v>0</v>
      </c>
      <c r="M156" s="8"/>
      <c r="N156" s="8"/>
    </row>
    <row r="157" spans="1:14" ht="51" customHeight="1">
      <c r="A157" s="8" t="s">
        <v>901</v>
      </c>
      <c r="B157" s="8" t="s">
        <v>218</v>
      </c>
      <c r="C157" s="8" t="s">
        <v>192</v>
      </c>
      <c r="D157" s="8" t="s">
        <v>193</v>
      </c>
      <c r="E157" s="8" t="s">
        <v>902</v>
      </c>
      <c r="F157" s="3" t="s">
        <v>220</v>
      </c>
      <c r="G157" s="8" t="s">
        <v>55</v>
      </c>
      <c r="H157" s="8">
        <v>1</v>
      </c>
      <c r="I157" s="8" t="s">
        <v>899</v>
      </c>
      <c r="J157" s="3" t="s">
        <v>903</v>
      </c>
      <c r="K157" s="8" t="s">
        <v>475</v>
      </c>
      <c r="L157" s="13">
        <v>0</v>
      </c>
      <c r="M157" s="8"/>
      <c r="N157" s="8"/>
    </row>
    <row r="158" spans="1:14" ht="51" customHeight="1">
      <c r="A158" s="8" t="s">
        <v>904</v>
      </c>
      <c r="B158" s="8" t="s">
        <v>218</v>
      </c>
      <c r="C158" s="8" t="s">
        <v>192</v>
      </c>
      <c r="D158" s="8" t="s">
        <v>193</v>
      </c>
      <c r="E158" s="8" t="s">
        <v>905</v>
      </c>
      <c r="F158" s="3" t="s">
        <v>220</v>
      </c>
      <c r="G158" s="8" t="s">
        <v>55</v>
      </c>
      <c r="H158" s="8">
        <v>0.5</v>
      </c>
      <c r="I158" s="8" t="s">
        <v>901</v>
      </c>
      <c r="J158" s="3" t="s">
        <v>906</v>
      </c>
      <c r="K158" s="8" t="s">
        <v>475</v>
      </c>
      <c r="L158" s="13">
        <v>0</v>
      </c>
      <c r="M158" s="8"/>
      <c r="N158" s="8"/>
    </row>
    <row r="159" spans="1:14" ht="51" customHeight="1">
      <c r="A159" s="8" t="s">
        <v>907</v>
      </c>
      <c r="B159" s="8" t="s">
        <v>223</v>
      </c>
      <c r="C159" s="8" t="s">
        <v>224</v>
      </c>
      <c r="D159" s="8" t="s">
        <v>154</v>
      </c>
      <c r="E159" s="8" t="s">
        <v>908</v>
      </c>
      <c r="F159" s="3" t="s">
        <v>226</v>
      </c>
      <c r="G159" s="8" t="s">
        <v>55</v>
      </c>
      <c r="H159" s="8">
        <v>1</v>
      </c>
      <c r="I159" s="8" t="s">
        <v>904</v>
      </c>
      <c r="J159" s="3" t="s">
        <v>909</v>
      </c>
      <c r="K159" s="8" t="s">
        <v>475</v>
      </c>
      <c r="L159" s="13">
        <v>0</v>
      </c>
      <c r="M159" s="8"/>
      <c r="N159" s="8"/>
    </row>
    <row r="160" spans="1:14" ht="51" customHeight="1">
      <c r="A160" s="8" t="s">
        <v>910</v>
      </c>
      <c r="B160" s="8" t="s">
        <v>223</v>
      </c>
      <c r="C160" s="8" t="s">
        <v>224</v>
      </c>
      <c r="D160" s="8" t="s">
        <v>154</v>
      </c>
      <c r="E160" s="8" t="s">
        <v>911</v>
      </c>
      <c r="F160" s="3" t="s">
        <v>226</v>
      </c>
      <c r="G160" s="8" t="s">
        <v>55</v>
      </c>
      <c r="H160" s="8">
        <v>1</v>
      </c>
      <c r="I160" s="8" t="s">
        <v>907</v>
      </c>
      <c r="J160" s="3" t="s">
        <v>912</v>
      </c>
      <c r="K160" s="8" t="s">
        <v>475</v>
      </c>
      <c r="L160" s="13">
        <v>0</v>
      </c>
      <c r="M160" s="8"/>
      <c r="N160" s="8"/>
    </row>
    <row r="161" spans="1:14" ht="51" customHeight="1">
      <c r="A161" s="8" t="s">
        <v>913</v>
      </c>
      <c r="B161" s="8" t="s">
        <v>223</v>
      </c>
      <c r="C161" s="8" t="s">
        <v>224</v>
      </c>
      <c r="D161" s="8" t="s">
        <v>154</v>
      </c>
      <c r="E161" s="8" t="s">
        <v>914</v>
      </c>
      <c r="F161" s="3" t="s">
        <v>226</v>
      </c>
      <c r="G161" s="8" t="s">
        <v>55</v>
      </c>
      <c r="H161" s="8">
        <v>2</v>
      </c>
      <c r="I161" s="8" t="s">
        <v>910</v>
      </c>
      <c r="J161" s="3" t="s">
        <v>228</v>
      </c>
      <c r="K161" s="8" t="s">
        <v>475</v>
      </c>
      <c r="L161" s="13">
        <v>0</v>
      </c>
      <c r="M161" s="8"/>
      <c r="N161" s="8"/>
    </row>
    <row r="162" spans="1:14" ht="51" customHeight="1">
      <c r="A162" s="8" t="s">
        <v>915</v>
      </c>
      <c r="B162" s="8" t="s">
        <v>223</v>
      </c>
      <c r="C162" s="8" t="s">
        <v>224</v>
      </c>
      <c r="D162" s="8" t="s">
        <v>154</v>
      </c>
      <c r="E162" s="8" t="s">
        <v>916</v>
      </c>
      <c r="F162" s="3" t="s">
        <v>226</v>
      </c>
      <c r="G162" s="8" t="s">
        <v>55</v>
      </c>
      <c r="H162" s="8">
        <v>1</v>
      </c>
      <c r="I162" s="8" t="s">
        <v>913</v>
      </c>
      <c r="J162" s="3" t="s">
        <v>917</v>
      </c>
      <c r="K162" s="8" t="s">
        <v>475</v>
      </c>
      <c r="L162" s="13">
        <v>0</v>
      </c>
      <c r="M162" s="8"/>
      <c r="N162" s="8"/>
    </row>
    <row r="163" spans="1:14" ht="51" customHeight="1">
      <c r="A163" s="8" t="s">
        <v>918</v>
      </c>
      <c r="B163" s="8" t="s">
        <v>223</v>
      </c>
      <c r="C163" s="8" t="s">
        <v>224</v>
      </c>
      <c r="D163" s="8" t="s">
        <v>154</v>
      </c>
      <c r="E163" s="8" t="s">
        <v>919</v>
      </c>
      <c r="F163" s="3" t="s">
        <v>226</v>
      </c>
      <c r="G163" s="8" t="s">
        <v>55</v>
      </c>
      <c r="H163" s="8">
        <v>0.5</v>
      </c>
      <c r="I163" s="8" t="s">
        <v>915</v>
      </c>
      <c r="J163" s="3" t="s">
        <v>920</v>
      </c>
      <c r="K163" s="8" t="s">
        <v>475</v>
      </c>
      <c r="L163" s="13">
        <v>0</v>
      </c>
      <c r="M163" s="8"/>
      <c r="N163" s="8"/>
    </row>
    <row r="164" spans="1:14" ht="51" customHeight="1">
      <c r="A164" s="8" t="s">
        <v>921</v>
      </c>
      <c r="B164" s="8" t="s">
        <v>229</v>
      </c>
      <c r="C164" s="8" t="s">
        <v>224</v>
      </c>
      <c r="D164" s="8" t="s">
        <v>154</v>
      </c>
      <c r="E164" s="8" t="s">
        <v>922</v>
      </c>
      <c r="F164" s="3" t="s">
        <v>231</v>
      </c>
      <c r="G164" s="8" t="s">
        <v>55</v>
      </c>
      <c r="H164" s="8">
        <v>1</v>
      </c>
      <c r="I164" s="8" t="s">
        <v>918</v>
      </c>
      <c r="J164" s="3" t="s">
        <v>923</v>
      </c>
      <c r="K164" s="8" t="s">
        <v>475</v>
      </c>
      <c r="L164" s="13">
        <v>0</v>
      </c>
      <c r="M164" s="8"/>
      <c r="N164" s="8"/>
    </row>
    <row r="165" spans="1:14" ht="51" customHeight="1">
      <c r="A165" s="8" t="s">
        <v>924</v>
      </c>
      <c r="B165" s="8" t="s">
        <v>229</v>
      </c>
      <c r="C165" s="8" t="s">
        <v>224</v>
      </c>
      <c r="D165" s="8" t="s">
        <v>154</v>
      </c>
      <c r="E165" s="8" t="s">
        <v>925</v>
      </c>
      <c r="F165" s="3" t="s">
        <v>231</v>
      </c>
      <c r="G165" s="8" t="s">
        <v>55</v>
      </c>
      <c r="H165" s="8">
        <v>0.5</v>
      </c>
      <c r="I165" s="8" t="s">
        <v>921</v>
      </c>
      <c r="J165" s="3" t="s">
        <v>926</v>
      </c>
      <c r="K165" s="8" t="s">
        <v>475</v>
      </c>
      <c r="L165" s="13">
        <v>0</v>
      </c>
      <c r="M165" s="8"/>
      <c r="N165" s="8"/>
    </row>
    <row r="166" spans="1:14" ht="51" customHeight="1">
      <c r="A166" s="8" t="s">
        <v>927</v>
      </c>
      <c r="B166" s="8" t="s">
        <v>229</v>
      </c>
      <c r="C166" s="8" t="s">
        <v>224</v>
      </c>
      <c r="D166" s="8" t="s">
        <v>154</v>
      </c>
      <c r="E166" s="8" t="s">
        <v>928</v>
      </c>
      <c r="F166" s="3" t="s">
        <v>231</v>
      </c>
      <c r="G166" s="8" t="s">
        <v>55</v>
      </c>
      <c r="H166" s="8">
        <v>2</v>
      </c>
      <c r="I166" s="8" t="s">
        <v>924</v>
      </c>
      <c r="J166" s="3" t="s">
        <v>233</v>
      </c>
      <c r="K166" s="8" t="s">
        <v>475</v>
      </c>
      <c r="L166" s="13">
        <v>0</v>
      </c>
      <c r="M166" s="8"/>
      <c r="N166" s="8"/>
    </row>
    <row r="167" spans="1:14" ht="51" customHeight="1">
      <c r="A167" s="8" t="s">
        <v>929</v>
      </c>
      <c r="B167" s="8" t="s">
        <v>229</v>
      </c>
      <c r="C167" s="8" t="s">
        <v>224</v>
      </c>
      <c r="D167" s="8" t="s">
        <v>154</v>
      </c>
      <c r="E167" s="8" t="s">
        <v>930</v>
      </c>
      <c r="F167" s="3" t="s">
        <v>231</v>
      </c>
      <c r="G167" s="8" t="s">
        <v>55</v>
      </c>
      <c r="H167" s="8">
        <v>1</v>
      </c>
      <c r="I167" s="8" t="s">
        <v>927</v>
      </c>
      <c r="J167" s="3" t="s">
        <v>931</v>
      </c>
      <c r="K167" s="8" t="s">
        <v>475</v>
      </c>
      <c r="L167" s="13">
        <v>0</v>
      </c>
      <c r="M167" s="8"/>
      <c r="N167" s="8"/>
    </row>
    <row r="168" spans="1:14" ht="51" customHeight="1">
      <c r="A168" s="8" t="s">
        <v>932</v>
      </c>
      <c r="B168" s="8" t="s">
        <v>229</v>
      </c>
      <c r="C168" s="8" t="s">
        <v>224</v>
      </c>
      <c r="D168" s="8" t="s">
        <v>154</v>
      </c>
      <c r="E168" s="8" t="s">
        <v>933</v>
      </c>
      <c r="F168" s="3" t="s">
        <v>231</v>
      </c>
      <c r="G168" s="8" t="s">
        <v>55</v>
      </c>
      <c r="H168" s="8">
        <v>0.5</v>
      </c>
      <c r="I168" s="8" t="s">
        <v>929</v>
      </c>
      <c r="J168" s="3" t="s">
        <v>934</v>
      </c>
      <c r="K168" s="8" t="s">
        <v>475</v>
      </c>
      <c r="L168" s="13">
        <v>0</v>
      </c>
      <c r="M168" s="8"/>
      <c r="N168" s="8"/>
    </row>
    <row r="169" spans="1:14" ht="51" customHeight="1">
      <c r="A169" s="8" t="s">
        <v>935</v>
      </c>
      <c r="B169" s="8" t="s">
        <v>234</v>
      </c>
      <c r="C169" s="8" t="s">
        <v>224</v>
      </c>
      <c r="D169" s="8" t="s">
        <v>160</v>
      </c>
      <c r="E169" s="8" t="s">
        <v>936</v>
      </c>
      <c r="F169" s="3" t="s">
        <v>236</v>
      </c>
      <c r="G169" s="8" t="s">
        <v>55</v>
      </c>
      <c r="H169" s="8">
        <v>1</v>
      </c>
      <c r="I169" s="8" t="s">
        <v>932</v>
      </c>
      <c r="J169" s="3" t="s">
        <v>937</v>
      </c>
      <c r="K169" s="8" t="s">
        <v>475</v>
      </c>
      <c r="L169" s="13">
        <v>0</v>
      </c>
      <c r="M169" s="8"/>
      <c r="N169" s="8"/>
    </row>
    <row r="170" spans="1:14" ht="51" customHeight="1">
      <c r="A170" s="8" t="s">
        <v>938</v>
      </c>
      <c r="B170" s="8" t="s">
        <v>234</v>
      </c>
      <c r="C170" s="8" t="s">
        <v>224</v>
      </c>
      <c r="D170" s="8" t="s">
        <v>160</v>
      </c>
      <c r="E170" s="8" t="s">
        <v>939</v>
      </c>
      <c r="F170" s="3" t="s">
        <v>236</v>
      </c>
      <c r="G170" s="8" t="s">
        <v>55</v>
      </c>
      <c r="H170" s="8">
        <v>1</v>
      </c>
      <c r="I170" s="8" t="s">
        <v>935</v>
      </c>
      <c r="J170" s="3" t="s">
        <v>940</v>
      </c>
      <c r="K170" s="8" t="s">
        <v>475</v>
      </c>
      <c r="L170" s="13">
        <v>0</v>
      </c>
      <c r="M170" s="8"/>
      <c r="N170" s="8"/>
    </row>
    <row r="171" spans="1:14" ht="51" customHeight="1">
      <c r="A171" s="8" t="s">
        <v>941</v>
      </c>
      <c r="B171" s="8" t="s">
        <v>234</v>
      </c>
      <c r="C171" s="8" t="s">
        <v>224</v>
      </c>
      <c r="D171" s="8" t="s">
        <v>160</v>
      </c>
      <c r="E171" s="8" t="s">
        <v>942</v>
      </c>
      <c r="F171" s="3" t="s">
        <v>236</v>
      </c>
      <c r="G171" s="8" t="s">
        <v>55</v>
      </c>
      <c r="H171" s="8">
        <v>1</v>
      </c>
      <c r="I171" s="8" t="s">
        <v>938</v>
      </c>
      <c r="J171" s="3" t="s">
        <v>238</v>
      </c>
      <c r="K171" s="8" t="s">
        <v>475</v>
      </c>
      <c r="L171" s="13">
        <v>0</v>
      </c>
      <c r="M171" s="8"/>
      <c r="N171" s="8"/>
    </row>
    <row r="172" spans="1:14" ht="51" customHeight="1">
      <c r="A172" s="8" t="s">
        <v>943</v>
      </c>
      <c r="B172" s="8" t="s">
        <v>234</v>
      </c>
      <c r="C172" s="8" t="s">
        <v>224</v>
      </c>
      <c r="D172" s="8" t="s">
        <v>160</v>
      </c>
      <c r="E172" s="8" t="s">
        <v>944</v>
      </c>
      <c r="F172" s="3" t="s">
        <v>236</v>
      </c>
      <c r="G172" s="8" t="s">
        <v>55</v>
      </c>
      <c r="H172" s="8">
        <v>1</v>
      </c>
      <c r="I172" s="8" t="s">
        <v>941</v>
      </c>
      <c r="J172" s="3" t="s">
        <v>945</v>
      </c>
      <c r="K172" s="8" t="s">
        <v>475</v>
      </c>
      <c r="L172" s="13">
        <v>0</v>
      </c>
      <c r="M172" s="8"/>
      <c r="N172" s="8"/>
    </row>
    <row r="173" spans="1:14" ht="51" customHeight="1">
      <c r="A173" s="8" t="s">
        <v>946</v>
      </c>
      <c r="B173" s="8" t="s">
        <v>234</v>
      </c>
      <c r="C173" s="8" t="s">
        <v>224</v>
      </c>
      <c r="D173" s="8" t="s">
        <v>160</v>
      </c>
      <c r="E173" s="8" t="s">
        <v>947</v>
      </c>
      <c r="F173" s="3" t="s">
        <v>236</v>
      </c>
      <c r="G173" s="8" t="s">
        <v>55</v>
      </c>
      <c r="H173" s="8">
        <v>0.5</v>
      </c>
      <c r="I173" s="8" t="s">
        <v>943</v>
      </c>
      <c r="J173" s="3" t="s">
        <v>948</v>
      </c>
      <c r="K173" s="8" t="s">
        <v>475</v>
      </c>
      <c r="L173" s="13">
        <v>0</v>
      </c>
      <c r="M173" s="8"/>
      <c r="N173" s="8"/>
    </row>
    <row r="174" spans="1:14" ht="51" customHeight="1">
      <c r="A174" s="8" t="s">
        <v>949</v>
      </c>
      <c r="B174" s="8" t="s">
        <v>239</v>
      </c>
      <c r="C174" s="8" t="s">
        <v>224</v>
      </c>
      <c r="D174" s="8" t="s">
        <v>193</v>
      </c>
      <c r="E174" s="8" t="s">
        <v>950</v>
      </c>
      <c r="F174" s="3" t="s">
        <v>241</v>
      </c>
      <c r="G174" s="8" t="s">
        <v>55</v>
      </c>
      <c r="H174" s="8">
        <v>0.5</v>
      </c>
      <c r="I174" s="8" t="s">
        <v>946</v>
      </c>
      <c r="J174" s="3" t="s">
        <v>951</v>
      </c>
      <c r="K174" s="8" t="s">
        <v>475</v>
      </c>
      <c r="L174" s="13">
        <v>0</v>
      </c>
      <c r="M174" s="8"/>
      <c r="N174" s="8"/>
    </row>
    <row r="175" spans="1:14" ht="51" customHeight="1">
      <c r="A175" s="8" t="s">
        <v>952</v>
      </c>
      <c r="B175" s="8" t="s">
        <v>239</v>
      </c>
      <c r="C175" s="8" t="s">
        <v>224</v>
      </c>
      <c r="D175" s="8" t="s">
        <v>193</v>
      </c>
      <c r="E175" s="8" t="s">
        <v>953</v>
      </c>
      <c r="F175" s="3" t="s">
        <v>241</v>
      </c>
      <c r="G175" s="8" t="s">
        <v>55</v>
      </c>
      <c r="H175" s="8">
        <v>1</v>
      </c>
      <c r="I175" s="8" t="s">
        <v>949</v>
      </c>
      <c r="J175" s="3" t="s">
        <v>954</v>
      </c>
      <c r="K175" s="8" t="s">
        <v>475</v>
      </c>
      <c r="L175" s="13">
        <v>0</v>
      </c>
      <c r="M175" s="8"/>
      <c r="N175" s="8"/>
    </row>
    <row r="176" spans="1:14" ht="51" customHeight="1">
      <c r="A176" s="8" t="s">
        <v>955</v>
      </c>
      <c r="B176" s="8" t="s">
        <v>239</v>
      </c>
      <c r="C176" s="8" t="s">
        <v>224</v>
      </c>
      <c r="D176" s="8" t="s">
        <v>193</v>
      </c>
      <c r="E176" s="8" t="s">
        <v>956</v>
      </c>
      <c r="F176" s="3" t="s">
        <v>241</v>
      </c>
      <c r="G176" s="8" t="s">
        <v>55</v>
      </c>
      <c r="H176" s="8">
        <v>1</v>
      </c>
      <c r="I176" s="8" t="s">
        <v>952</v>
      </c>
      <c r="J176" s="3" t="s">
        <v>243</v>
      </c>
      <c r="K176" s="8" t="s">
        <v>475</v>
      </c>
      <c r="L176" s="13">
        <v>0</v>
      </c>
      <c r="M176" s="8"/>
      <c r="N176" s="8"/>
    </row>
    <row r="177" spans="1:14" ht="51" customHeight="1">
      <c r="A177" s="8" t="s">
        <v>957</v>
      </c>
      <c r="B177" s="8" t="s">
        <v>239</v>
      </c>
      <c r="C177" s="8" t="s">
        <v>224</v>
      </c>
      <c r="D177" s="8" t="s">
        <v>193</v>
      </c>
      <c r="E177" s="8" t="s">
        <v>958</v>
      </c>
      <c r="F177" s="3" t="s">
        <v>241</v>
      </c>
      <c r="G177" s="8" t="s">
        <v>55</v>
      </c>
      <c r="H177" s="8">
        <v>1</v>
      </c>
      <c r="I177" s="8" t="s">
        <v>955</v>
      </c>
      <c r="J177" s="3" t="s">
        <v>959</v>
      </c>
      <c r="K177" s="8" t="s">
        <v>475</v>
      </c>
      <c r="L177" s="13">
        <v>0</v>
      </c>
      <c r="M177" s="8"/>
      <c r="N177" s="8"/>
    </row>
    <row r="178" spans="1:14" ht="51" customHeight="1">
      <c r="A178" s="8" t="s">
        <v>960</v>
      </c>
      <c r="B178" s="8" t="s">
        <v>239</v>
      </c>
      <c r="C178" s="8" t="s">
        <v>224</v>
      </c>
      <c r="D178" s="8" t="s">
        <v>193</v>
      </c>
      <c r="E178" s="8" t="s">
        <v>961</v>
      </c>
      <c r="F178" s="3" t="s">
        <v>241</v>
      </c>
      <c r="G178" s="8" t="s">
        <v>55</v>
      </c>
      <c r="H178" s="8">
        <v>0.5</v>
      </c>
      <c r="I178" s="8" t="s">
        <v>957</v>
      </c>
      <c r="J178" s="3" t="s">
        <v>962</v>
      </c>
      <c r="K178" s="8" t="s">
        <v>475</v>
      </c>
      <c r="L178" s="13">
        <v>0</v>
      </c>
      <c r="M178" s="8"/>
      <c r="N178" s="8"/>
    </row>
    <row r="179" spans="1:14" ht="51" customHeight="1">
      <c r="A179" s="8" t="s">
        <v>963</v>
      </c>
      <c r="B179" s="8" t="s">
        <v>244</v>
      </c>
      <c r="C179" s="8" t="s">
        <v>224</v>
      </c>
      <c r="D179" s="8" t="s">
        <v>193</v>
      </c>
      <c r="E179" s="8" t="s">
        <v>964</v>
      </c>
      <c r="F179" s="3" t="s">
        <v>246</v>
      </c>
      <c r="G179" s="8" t="s">
        <v>55</v>
      </c>
      <c r="H179" s="8">
        <v>1</v>
      </c>
      <c r="I179" s="8" t="s">
        <v>960</v>
      </c>
      <c r="J179" s="3" t="s">
        <v>965</v>
      </c>
      <c r="K179" s="8" t="s">
        <v>475</v>
      </c>
      <c r="L179" s="13">
        <v>0</v>
      </c>
      <c r="M179" s="8"/>
      <c r="N179" s="8"/>
    </row>
    <row r="180" spans="1:14" ht="51" customHeight="1">
      <c r="A180" s="8" t="s">
        <v>966</v>
      </c>
      <c r="B180" s="8" t="s">
        <v>244</v>
      </c>
      <c r="C180" s="8" t="s">
        <v>224</v>
      </c>
      <c r="D180" s="8" t="s">
        <v>193</v>
      </c>
      <c r="E180" s="8" t="s">
        <v>967</v>
      </c>
      <c r="F180" s="3" t="s">
        <v>246</v>
      </c>
      <c r="G180" s="8" t="s">
        <v>55</v>
      </c>
      <c r="H180" s="8">
        <v>1</v>
      </c>
      <c r="I180" s="8" t="s">
        <v>963</v>
      </c>
      <c r="J180" s="3" t="s">
        <v>968</v>
      </c>
      <c r="K180" s="8" t="s">
        <v>475</v>
      </c>
      <c r="L180" s="13">
        <v>0</v>
      </c>
      <c r="M180" s="8"/>
      <c r="N180" s="8"/>
    </row>
    <row r="181" spans="1:14" ht="51" customHeight="1">
      <c r="A181" s="8" t="s">
        <v>969</v>
      </c>
      <c r="B181" s="8" t="s">
        <v>244</v>
      </c>
      <c r="C181" s="8" t="s">
        <v>224</v>
      </c>
      <c r="D181" s="8" t="s">
        <v>193</v>
      </c>
      <c r="E181" s="8" t="s">
        <v>970</v>
      </c>
      <c r="F181" s="3" t="s">
        <v>246</v>
      </c>
      <c r="G181" s="8" t="s">
        <v>55</v>
      </c>
      <c r="H181" s="8">
        <v>1</v>
      </c>
      <c r="I181" s="8" t="s">
        <v>966</v>
      </c>
      <c r="J181" s="3" t="s">
        <v>248</v>
      </c>
      <c r="K181" s="8" t="s">
        <v>475</v>
      </c>
      <c r="L181" s="13">
        <v>0</v>
      </c>
      <c r="M181" s="8"/>
      <c r="N181" s="8"/>
    </row>
    <row r="182" spans="1:14" ht="51" customHeight="1">
      <c r="A182" s="8" t="s">
        <v>971</v>
      </c>
      <c r="B182" s="8" t="s">
        <v>244</v>
      </c>
      <c r="C182" s="8" t="s">
        <v>224</v>
      </c>
      <c r="D182" s="8" t="s">
        <v>193</v>
      </c>
      <c r="E182" s="8" t="s">
        <v>972</v>
      </c>
      <c r="F182" s="3" t="s">
        <v>246</v>
      </c>
      <c r="G182" s="8" t="s">
        <v>55</v>
      </c>
      <c r="H182" s="8">
        <v>1</v>
      </c>
      <c r="I182" s="8" t="s">
        <v>969</v>
      </c>
      <c r="J182" s="3" t="s">
        <v>973</v>
      </c>
      <c r="K182" s="8" t="s">
        <v>475</v>
      </c>
      <c r="L182" s="13">
        <v>0</v>
      </c>
      <c r="M182" s="8"/>
      <c r="N182" s="8"/>
    </row>
    <row r="183" spans="1:14" ht="51" customHeight="1">
      <c r="A183" s="8" t="s">
        <v>974</v>
      </c>
      <c r="B183" s="8" t="s">
        <v>244</v>
      </c>
      <c r="C183" s="8" t="s">
        <v>224</v>
      </c>
      <c r="D183" s="8" t="s">
        <v>193</v>
      </c>
      <c r="E183" s="8" t="s">
        <v>975</v>
      </c>
      <c r="F183" s="3" t="s">
        <v>246</v>
      </c>
      <c r="G183" s="8" t="s">
        <v>55</v>
      </c>
      <c r="H183" s="8">
        <v>0.5</v>
      </c>
      <c r="I183" s="8" t="s">
        <v>971</v>
      </c>
      <c r="J183" s="3" t="s">
        <v>976</v>
      </c>
      <c r="K183" s="8" t="s">
        <v>475</v>
      </c>
      <c r="L183" s="13">
        <v>0</v>
      </c>
      <c r="M183" s="8"/>
      <c r="N183" s="8"/>
    </row>
    <row r="184" spans="1:14" ht="51" customHeight="1">
      <c r="A184" s="8" t="s">
        <v>977</v>
      </c>
      <c r="B184" s="8" t="s">
        <v>249</v>
      </c>
      <c r="C184" s="8" t="s">
        <v>224</v>
      </c>
      <c r="D184" s="8" t="s">
        <v>160</v>
      </c>
      <c r="E184" s="8" t="s">
        <v>978</v>
      </c>
      <c r="F184" s="3" t="s">
        <v>251</v>
      </c>
      <c r="G184" s="8" t="s">
        <v>89</v>
      </c>
      <c r="H184" s="8">
        <v>1</v>
      </c>
      <c r="I184" s="8" t="s">
        <v>974</v>
      </c>
      <c r="J184" s="3" t="s">
        <v>979</v>
      </c>
      <c r="K184" s="8" t="s">
        <v>475</v>
      </c>
      <c r="L184" s="13">
        <v>0</v>
      </c>
      <c r="M184" s="8"/>
      <c r="N184" s="8"/>
    </row>
    <row r="185" spans="1:14" ht="51" customHeight="1">
      <c r="A185" s="8" t="s">
        <v>980</v>
      </c>
      <c r="B185" s="8" t="s">
        <v>249</v>
      </c>
      <c r="C185" s="8" t="s">
        <v>224</v>
      </c>
      <c r="D185" s="8" t="s">
        <v>160</v>
      </c>
      <c r="E185" s="8" t="s">
        <v>981</v>
      </c>
      <c r="F185" s="3" t="s">
        <v>251</v>
      </c>
      <c r="G185" s="8" t="s">
        <v>89</v>
      </c>
      <c r="H185" s="8">
        <v>1</v>
      </c>
      <c r="I185" s="8" t="s">
        <v>977</v>
      </c>
      <c r="J185" s="3" t="s">
        <v>982</v>
      </c>
      <c r="K185" s="8" t="s">
        <v>475</v>
      </c>
      <c r="L185" s="13">
        <v>0</v>
      </c>
      <c r="M185" s="8"/>
      <c r="N185" s="8"/>
    </row>
    <row r="186" spans="1:14" ht="51" customHeight="1">
      <c r="A186" s="8" t="s">
        <v>983</v>
      </c>
      <c r="B186" s="8" t="s">
        <v>249</v>
      </c>
      <c r="C186" s="8" t="s">
        <v>224</v>
      </c>
      <c r="D186" s="8" t="s">
        <v>160</v>
      </c>
      <c r="E186" s="8" t="s">
        <v>984</v>
      </c>
      <c r="F186" s="3" t="s">
        <v>251</v>
      </c>
      <c r="G186" s="8" t="s">
        <v>89</v>
      </c>
      <c r="H186" s="8">
        <v>2</v>
      </c>
      <c r="I186" s="8" t="s">
        <v>980</v>
      </c>
      <c r="J186" s="3" t="s">
        <v>253</v>
      </c>
      <c r="K186" s="8" t="s">
        <v>475</v>
      </c>
      <c r="L186" s="13">
        <v>0</v>
      </c>
      <c r="M186" s="8"/>
      <c r="N186" s="8"/>
    </row>
    <row r="187" spans="1:14" ht="51" customHeight="1">
      <c r="A187" s="8" t="s">
        <v>985</v>
      </c>
      <c r="B187" s="8" t="s">
        <v>249</v>
      </c>
      <c r="C187" s="8" t="s">
        <v>224</v>
      </c>
      <c r="D187" s="8" t="s">
        <v>160</v>
      </c>
      <c r="E187" s="8" t="s">
        <v>986</v>
      </c>
      <c r="F187" s="3" t="s">
        <v>251</v>
      </c>
      <c r="G187" s="8" t="s">
        <v>89</v>
      </c>
      <c r="H187" s="8">
        <v>1</v>
      </c>
      <c r="I187" s="8" t="s">
        <v>983</v>
      </c>
      <c r="J187" s="3" t="s">
        <v>987</v>
      </c>
      <c r="K187" s="8" t="s">
        <v>475</v>
      </c>
      <c r="L187" s="13">
        <v>0</v>
      </c>
      <c r="M187" s="8"/>
      <c r="N187" s="8"/>
    </row>
    <row r="188" spans="1:14" ht="51" customHeight="1">
      <c r="A188" s="8" t="s">
        <v>988</v>
      </c>
      <c r="B188" s="8" t="s">
        <v>249</v>
      </c>
      <c r="C188" s="8" t="s">
        <v>224</v>
      </c>
      <c r="D188" s="8" t="s">
        <v>160</v>
      </c>
      <c r="E188" s="8" t="s">
        <v>989</v>
      </c>
      <c r="F188" s="3" t="s">
        <v>251</v>
      </c>
      <c r="G188" s="8" t="s">
        <v>89</v>
      </c>
      <c r="H188" s="8">
        <v>0.5</v>
      </c>
      <c r="I188" s="8" t="s">
        <v>985</v>
      </c>
      <c r="J188" s="3" t="s">
        <v>990</v>
      </c>
      <c r="K188" s="8" t="s">
        <v>475</v>
      </c>
      <c r="L188" s="13">
        <v>0</v>
      </c>
      <c r="M188" s="8"/>
      <c r="N188" s="8"/>
    </row>
    <row r="189" spans="1:14" ht="51" customHeight="1">
      <c r="A189" s="8" t="s">
        <v>991</v>
      </c>
      <c r="B189" s="8" t="s">
        <v>254</v>
      </c>
      <c r="C189" s="8" t="s">
        <v>255</v>
      </c>
      <c r="D189" s="8" t="s">
        <v>160</v>
      </c>
      <c r="E189" s="8" t="s">
        <v>992</v>
      </c>
      <c r="F189" s="3" t="s">
        <v>257</v>
      </c>
      <c r="G189" s="8" t="s">
        <v>55</v>
      </c>
      <c r="H189" s="8">
        <v>0.5</v>
      </c>
      <c r="I189" s="8" t="s">
        <v>988</v>
      </c>
      <c r="J189" s="3" t="s">
        <v>993</v>
      </c>
      <c r="K189" s="8" t="s">
        <v>475</v>
      </c>
      <c r="L189" s="13">
        <v>0</v>
      </c>
      <c r="M189" s="8"/>
      <c r="N189" s="8"/>
    </row>
    <row r="190" spans="1:14" ht="51" customHeight="1">
      <c r="A190" s="8" t="s">
        <v>994</v>
      </c>
      <c r="B190" s="8" t="s">
        <v>254</v>
      </c>
      <c r="C190" s="8" t="s">
        <v>255</v>
      </c>
      <c r="D190" s="8" t="s">
        <v>160</v>
      </c>
      <c r="E190" s="8" t="s">
        <v>995</v>
      </c>
      <c r="F190" s="3" t="s">
        <v>257</v>
      </c>
      <c r="G190" s="8" t="s">
        <v>55</v>
      </c>
      <c r="H190" s="8">
        <v>0.5</v>
      </c>
      <c r="I190" s="8" t="s">
        <v>991</v>
      </c>
      <c r="J190" s="3" t="s">
        <v>996</v>
      </c>
      <c r="K190" s="8" t="s">
        <v>475</v>
      </c>
      <c r="L190" s="13">
        <v>0</v>
      </c>
      <c r="M190" s="8"/>
      <c r="N190" s="8"/>
    </row>
    <row r="191" spans="1:14" ht="51" customHeight="1">
      <c r="A191" s="8" t="s">
        <v>997</v>
      </c>
      <c r="B191" s="8" t="s">
        <v>254</v>
      </c>
      <c r="C191" s="8" t="s">
        <v>255</v>
      </c>
      <c r="D191" s="8" t="s">
        <v>160</v>
      </c>
      <c r="E191" s="8" t="s">
        <v>998</v>
      </c>
      <c r="F191" s="3" t="s">
        <v>257</v>
      </c>
      <c r="G191" s="8" t="s">
        <v>55</v>
      </c>
      <c r="H191" s="8">
        <v>1.5</v>
      </c>
      <c r="I191" s="8" t="s">
        <v>994</v>
      </c>
      <c r="J191" s="3" t="s">
        <v>259</v>
      </c>
      <c r="K191" s="8" t="s">
        <v>475</v>
      </c>
      <c r="L191" s="13">
        <v>0</v>
      </c>
      <c r="M191" s="8"/>
      <c r="N191" s="8"/>
    </row>
    <row r="192" spans="1:14" ht="51" customHeight="1">
      <c r="A192" s="8" t="s">
        <v>999</v>
      </c>
      <c r="B192" s="8" t="s">
        <v>254</v>
      </c>
      <c r="C192" s="8" t="s">
        <v>255</v>
      </c>
      <c r="D192" s="8" t="s">
        <v>160</v>
      </c>
      <c r="E192" s="8" t="s">
        <v>1000</v>
      </c>
      <c r="F192" s="3" t="s">
        <v>257</v>
      </c>
      <c r="G192" s="8" t="s">
        <v>55</v>
      </c>
      <c r="H192" s="8">
        <v>1</v>
      </c>
      <c r="I192" s="8" t="s">
        <v>997</v>
      </c>
      <c r="J192" s="3" t="s">
        <v>1001</v>
      </c>
      <c r="K192" s="8" t="s">
        <v>475</v>
      </c>
      <c r="L192" s="13">
        <v>0</v>
      </c>
      <c r="M192" s="8"/>
      <c r="N192" s="8"/>
    </row>
    <row r="193" spans="1:14" ht="51" customHeight="1">
      <c r="A193" s="8" t="s">
        <v>1002</v>
      </c>
      <c r="B193" s="8" t="s">
        <v>254</v>
      </c>
      <c r="C193" s="8" t="s">
        <v>255</v>
      </c>
      <c r="D193" s="8" t="s">
        <v>160</v>
      </c>
      <c r="E193" s="8" t="s">
        <v>1003</v>
      </c>
      <c r="F193" s="3" t="s">
        <v>257</v>
      </c>
      <c r="G193" s="8" t="s">
        <v>55</v>
      </c>
      <c r="H193" s="8">
        <v>0.5</v>
      </c>
      <c r="I193" s="8" t="s">
        <v>999</v>
      </c>
      <c r="J193" s="3" t="s">
        <v>1004</v>
      </c>
      <c r="K193" s="8" t="s">
        <v>475</v>
      </c>
      <c r="L193" s="13">
        <v>0</v>
      </c>
      <c r="M193" s="8"/>
      <c r="N193" s="8"/>
    </row>
    <row r="194" spans="1:14" ht="51" customHeight="1">
      <c r="A194" s="8" t="s">
        <v>1005</v>
      </c>
      <c r="B194" s="8" t="s">
        <v>260</v>
      </c>
      <c r="C194" s="8" t="s">
        <v>255</v>
      </c>
      <c r="D194" s="8" t="s">
        <v>160</v>
      </c>
      <c r="E194" s="8" t="s">
        <v>1006</v>
      </c>
      <c r="F194" s="3" t="s">
        <v>262</v>
      </c>
      <c r="G194" s="8" t="s">
        <v>55</v>
      </c>
      <c r="H194" s="8">
        <v>1</v>
      </c>
      <c r="I194" s="8" t="s">
        <v>1002</v>
      </c>
      <c r="J194" s="3" t="s">
        <v>1007</v>
      </c>
      <c r="K194" s="8" t="s">
        <v>475</v>
      </c>
      <c r="L194" s="13">
        <v>0</v>
      </c>
      <c r="M194" s="8"/>
      <c r="N194" s="8"/>
    </row>
    <row r="195" spans="1:14" ht="51" customHeight="1">
      <c r="A195" s="8" t="s">
        <v>1008</v>
      </c>
      <c r="B195" s="8" t="s">
        <v>260</v>
      </c>
      <c r="C195" s="8" t="s">
        <v>255</v>
      </c>
      <c r="D195" s="8" t="s">
        <v>160</v>
      </c>
      <c r="E195" s="8" t="s">
        <v>1009</v>
      </c>
      <c r="F195" s="3" t="s">
        <v>262</v>
      </c>
      <c r="G195" s="8" t="s">
        <v>55</v>
      </c>
      <c r="H195" s="8">
        <v>0.5</v>
      </c>
      <c r="I195" s="8" t="s">
        <v>1005</v>
      </c>
      <c r="J195" s="3" t="s">
        <v>1010</v>
      </c>
      <c r="K195" s="8" t="s">
        <v>475</v>
      </c>
      <c r="L195" s="13">
        <v>0</v>
      </c>
      <c r="M195" s="8"/>
      <c r="N195" s="8"/>
    </row>
    <row r="196" spans="1:14" ht="51" customHeight="1">
      <c r="A196" s="8" t="s">
        <v>1011</v>
      </c>
      <c r="B196" s="8" t="s">
        <v>260</v>
      </c>
      <c r="C196" s="8" t="s">
        <v>255</v>
      </c>
      <c r="D196" s="8" t="s">
        <v>160</v>
      </c>
      <c r="E196" s="8" t="s">
        <v>1012</v>
      </c>
      <c r="F196" s="3" t="s">
        <v>262</v>
      </c>
      <c r="G196" s="8" t="s">
        <v>55</v>
      </c>
      <c r="H196" s="8">
        <v>2</v>
      </c>
      <c r="I196" s="8" t="s">
        <v>1008</v>
      </c>
      <c r="J196" s="3" t="s">
        <v>264</v>
      </c>
      <c r="K196" s="8" t="s">
        <v>475</v>
      </c>
      <c r="L196" s="13">
        <v>0</v>
      </c>
      <c r="M196" s="8"/>
      <c r="N196" s="8"/>
    </row>
    <row r="197" spans="1:14" ht="51" customHeight="1">
      <c r="A197" s="8" t="s">
        <v>1013</v>
      </c>
      <c r="B197" s="8" t="s">
        <v>260</v>
      </c>
      <c r="C197" s="8" t="s">
        <v>255</v>
      </c>
      <c r="D197" s="8" t="s">
        <v>160</v>
      </c>
      <c r="E197" s="8" t="s">
        <v>1014</v>
      </c>
      <c r="F197" s="3" t="s">
        <v>262</v>
      </c>
      <c r="G197" s="8" t="s">
        <v>55</v>
      </c>
      <c r="H197" s="8">
        <v>1</v>
      </c>
      <c r="I197" s="8" t="s">
        <v>1011</v>
      </c>
      <c r="J197" s="3" t="s">
        <v>1015</v>
      </c>
      <c r="K197" s="8" t="s">
        <v>475</v>
      </c>
      <c r="L197" s="13">
        <v>0</v>
      </c>
      <c r="M197" s="8"/>
      <c r="N197" s="8"/>
    </row>
    <row r="198" spans="1:14" ht="51" customHeight="1">
      <c r="A198" s="8" t="s">
        <v>1016</v>
      </c>
      <c r="B198" s="8" t="s">
        <v>260</v>
      </c>
      <c r="C198" s="8" t="s">
        <v>255</v>
      </c>
      <c r="D198" s="8" t="s">
        <v>160</v>
      </c>
      <c r="E198" s="8" t="s">
        <v>1017</v>
      </c>
      <c r="F198" s="3" t="s">
        <v>262</v>
      </c>
      <c r="G198" s="8" t="s">
        <v>55</v>
      </c>
      <c r="H198" s="8">
        <v>0.5</v>
      </c>
      <c r="I198" s="8" t="s">
        <v>1013</v>
      </c>
      <c r="J198" s="3" t="s">
        <v>1018</v>
      </c>
      <c r="K198" s="8" t="s">
        <v>475</v>
      </c>
      <c r="L198" s="13">
        <v>0</v>
      </c>
      <c r="M198" s="8"/>
      <c r="N198" s="8"/>
    </row>
    <row r="199" spans="1:14" ht="51" customHeight="1">
      <c r="A199" s="8" t="s">
        <v>1019</v>
      </c>
      <c r="B199" s="8" t="s">
        <v>265</v>
      </c>
      <c r="C199" s="8" t="s">
        <v>255</v>
      </c>
      <c r="D199" s="8" t="s">
        <v>160</v>
      </c>
      <c r="E199" s="8" t="s">
        <v>1020</v>
      </c>
      <c r="F199" s="3" t="s">
        <v>267</v>
      </c>
      <c r="G199" s="8" t="s">
        <v>55</v>
      </c>
      <c r="H199" s="8">
        <v>0.5</v>
      </c>
      <c r="I199" s="8" t="s">
        <v>1016</v>
      </c>
      <c r="J199" s="3" t="s">
        <v>1021</v>
      </c>
      <c r="K199" s="8" t="s">
        <v>475</v>
      </c>
      <c r="L199" s="13">
        <v>0</v>
      </c>
      <c r="M199" s="8"/>
      <c r="N199" s="8"/>
    </row>
    <row r="200" spans="1:14" ht="51" customHeight="1">
      <c r="A200" s="8" t="s">
        <v>1022</v>
      </c>
      <c r="B200" s="8" t="s">
        <v>265</v>
      </c>
      <c r="C200" s="8" t="s">
        <v>255</v>
      </c>
      <c r="D200" s="8" t="s">
        <v>160</v>
      </c>
      <c r="E200" s="8" t="s">
        <v>1023</v>
      </c>
      <c r="F200" s="3" t="s">
        <v>267</v>
      </c>
      <c r="G200" s="8" t="s">
        <v>55</v>
      </c>
      <c r="H200" s="8">
        <v>0.5</v>
      </c>
      <c r="I200" s="8" t="s">
        <v>1019</v>
      </c>
      <c r="J200" s="3" t="s">
        <v>1024</v>
      </c>
      <c r="K200" s="8" t="s">
        <v>475</v>
      </c>
      <c r="L200" s="13">
        <v>0</v>
      </c>
      <c r="M200" s="8"/>
      <c r="N200" s="8"/>
    </row>
    <row r="201" spans="1:14" ht="51" customHeight="1">
      <c r="A201" s="8" t="s">
        <v>1025</v>
      </c>
      <c r="B201" s="8" t="s">
        <v>265</v>
      </c>
      <c r="C201" s="8" t="s">
        <v>255</v>
      </c>
      <c r="D201" s="8" t="s">
        <v>160</v>
      </c>
      <c r="E201" s="8" t="s">
        <v>1026</v>
      </c>
      <c r="F201" s="3" t="s">
        <v>267</v>
      </c>
      <c r="G201" s="8" t="s">
        <v>55</v>
      </c>
      <c r="H201" s="8">
        <v>1.5</v>
      </c>
      <c r="I201" s="8" t="s">
        <v>1022</v>
      </c>
      <c r="J201" s="3" t="s">
        <v>269</v>
      </c>
      <c r="K201" s="8" t="s">
        <v>475</v>
      </c>
      <c r="L201" s="13">
        <v>0</v>
      </c>
      <c r="M201" s="8"/>
      <c r="N201" s="8"/>
    </row>
    <row r="202" spans="1:14" ht="51" customHeight="1">
      <c r="A202" s="8" t="s">
        <v>1027</v>
      </c>
      <c r="B202" s="8" t="s">
        <v>265</v>
      </c>
      <c r="C202" s="8" t="s">
        <v>255</v>
      </c>
      <c r="D202" s="8" t="s">
        <v>160</v>
      </c>
      <c r="E202" s="8" t="s">
        <v>1028</v>
      </c>
      <c r="F202" s="3" t="s">
        <v>267</v>
      </c>
      <c r="G202" s="8" t="s">
        <v>55</v>
      </c>
      <c r="H202" s="8">
        <v>1</v>
      </c>
      <c r="I202" s="8" t="s">
        <v>1025</v>
      </c>
      <c r="J202" s="3" t="s">
        <v>1029</v>
      </c>
      <c r="K202" s="8" t="s">
        <v>475</v>
      </c>
      <c r="L202" s="13">
        <v>0</v>
      </c>
      <c r="M202" s="8"/>
      <c r="N202" s="8"/>
    </row>
    <row r="203" spans="1:14" ht="51" customHeight="1">
      <c r="A203" s="8" t="s">
        <v>1030</v>
      </c>
      <c r="B203" s="8" t="s">
        <v>265</v>
      </c>
      <c r="C203" s="8" t="s">
        <v>255</v>
      </c>
      <c r="D203" s="8" t="s">
        <v>160</v>
      </c>
      <c r="E203" s="8" t="s">
        <v>1031</v>
      </c>
      <c r="F203" s="3" t="s">
        <v>267</v>
      </c>
      <c r="G203" s="8" t="s">
        <v>55</v>
      </c>
      <c r="H203" s="8">
        <v>0.5</v>
      </c>
      <c r="I203" s="8" t="s">
        <v>1027</v>
      </c>
      <c r="J203" s="3" t="s">
        <v>1032</v>
      </c>
      <c r="K203" s="8" t="s">
        <v>475</v>
      </c>
      <c r="L203" s="13">
        <v>0</v>
      </c>
      <c r="M203" s="8"/>
      <c r="N203" s="8"/>
    </row>
    <row r="204" spans="1:14" ht="51" customHeight="1">
      <c r="A204" s="8" t="s">
        <v>1033</v>
      </c>
      <c r="B204" s="8" t="s">
        <v>270</v>
      </c>
      <c r="C204" s="8" t="s">
        <v>255</v>
      </c>
      <c r="D204" s="8" t="s">
        <v>111</v>
      </c>
      <c r="E204" s="8" t="s">
        <v>1034</v>
      </c>
      <c r="F204" s="3" t="s">
        <v>272</v>
      </c>
      <c r="G204" s="8" t="s">
        <v>89</v>
      </c>
      <c r="H204" s="8">
        <v>0.5</v>
      </c>
      <c r="I204" s="8" t="s">
        <v>1030</v>
      </c>
      <c r="J204" s="3" t="s">
        <v>1035</v>
      </c>
      <c r="K204" s="8" t="s">
        <v>475</v>
      </c>
      <c r="L204" s="13">
        <v>0</v>
      </c>
      <c r="M204" s="8"/>
      <c r="N204" s="8"/>
    </row>
    <row r="205" spans="1:14" ht="51" customHeight="1">
      <c r="A205" s="8" t="s">
        <v>1036</v>
      </c>
      <c r="B205" s="8" t="s">
        <v>270</v>
      </c>
      <c r="C205" s="8" t="s">
        <v>255</v>
      </c>
      <c r="D205" s="8" t="s">
        <v>111</v>
      </c>
      <c r="E205" s="8" t="s">
        <v>1037</v>
      </c>
      <c r="F205" s="3" t="s">
        <v>272</v>
      </c>
      <c r="G205" s="8" t="s">
        <v>89</v>
      </c>
      <c r="H205" s="8">
        <v>0.5</v>
      </c>
      <c r="I205" s="8" t="s">
        <v>1033</v>
      </c>
      <c r="J205" s="3" t="s">
        <v>1038</v>
      </c>
      <c r="K205" s="8" t="s">
        <v>475</v>
      </c>
      <c r="L205" s="13">
        <v>0</v>
      </c>
      <c r="M205" s="8"/>
      <c r="N205" s="8"/>
    </row>
    <row r="206" spans="1:14" ht="51" customHeight="1">
      <c r="A206" s="8" t="s">
        <v>1039</v>
      </c>
      <c r="B206" s="8" t="s">
        <v>270</v>
      </c>
      <c r="C206" s="8" t="s">
        <v>255</v>
      </c>
      <c r="D206" s="8" t="s">
        <v>111</v>
      </c>
      <c r="E206" s="8" t="s">
        <v>1040</v>
      </c>
      <c r="F206" s="3" t="s">
        <v>272</v>
      </c>
      <c r="G206" s="8" t="s">
        <v>89</v>
      </c>
      <c r="H206" s="8">
        <v>2</v>
      </c>
      <c r="I206" s="8" t="s">
        <v>1036</v>
      </c>
      <c r="J206" s="3" t="s">
        <v>274</v>
      </c>
      <c r="K206" s="8" t="s">
        <v>475</v>
      </c>
      <c r="L206" s="13">
        <v>0</v>
      </c>
      <c r="M206" s="8"/>
      <c r="N206" s="8"/>
    </row>
    <row r="207" spans="1:14" ht="51" customHeight="1">
      <c r="A207" s="8" t="s">
        <v>1041</v>
      </c>
      <c r="B207" s="8" t="s">
        <v>270</v>
      </c>
      <c r="C207" s="8" t="s">
        <v>255</v>
      </c>
      <c r="D207" s="8" t="s">
        <v>111</v>
      </c>
      <c r="E207" s="8" t="s">
        <v>1042</v>
      </c>
      <c r="F207" s="3" t="s">
        <v>272</v>
      </c>
      <c r="G207" s="8" t="s">
        <v>89</v>
      </c>
      <c r="H207" s="8">
        <v>1</v>
      </c>
      <c r="I207" s="8" t="s">
        <v>1039</v>
      </c>
      <c r="J207" s="3" t="s">
        <v>1043</v>
      </c>
      <c r="K207" s="8" t="s">
        <v>475</v>
      </c>
      <c r="L207" s="13">
        <v>0</v>
      </c>
      <c r="M207" s="8"/>
      <c r="N207" s="8"/>
    </row>
    <row r="208" spans="1:14" ht="51" customHeight="1">
      <c r="A208" s="8" t="s">
        <v>1044</v>
      </c>
      <c r="B208" s="8" t="s">
        <v>270</v>
      </c>
      <c r="C208" s="8" t="s">
        <v>255</v>
      </c>
      <c r="D208" s="8" t="s">
        <v>111</v>
      </c>
      <c r="E208" s="8" t="s">
        <v>1045</v>
      </c>
      <c r="F208" s="3" t="s">
        <v>272</v>
      </c>
      <c r="G208" s="8" t="s">
        <v>89</v>
      </c>
      <c r="H208" s="8">
        <v>0.5</v>
      </c>
      <c r="I208" s="8" t="s">
        <v>1041</v>
      </c>
      <c r="J208" s="3" t="s">
        <v>1046</v>
      </c>
      <c r="K208" s="8" t="s">
        <v>475</v>
      </c>
      <c r="L208" s="13">
        <v>0</v>
      </c>
      <c r="M208" s="8"/>
      <c r="N208" s="8"/>
    </row>
    <row r="209" spans="1:14" ht="51" customHeight="1">
      <c r="A209" s="8" t="s">
        <v>1047</v>
      </c>
      <c r="B209" s="8" t="s">
        <v>275</v>
      </c>
      <c r="C209" s="8" t="s">
        <v>255</v>
      </c>
      <c r="D209" s="8" t="s">
        <v>154</v>
      </c>
      <c r="E209" s="8" t="s">
        <v>1048</v>
      </c>
      <c r="F209" s="3" t="s">
        <v>277</v>
      </c>
      <c r="G209" s="8" t="s">
        <v>89</v>
      </c>
      <c r="H209" s="8">
        <v>1</v>
      </c>
      <c r="I209" s="8" t="s">
        <v>1044</v>
      </c>
      <c r="J209" s="3" t="s">
        <v>1049</v>
      </c>
      <c r="K209" s="8" t="s">
        <v>475</v>
      </c>
      <c r="L209" s="13">
        <v>0</v>
      </c>
      <c r="M209" s="8"/>
      <c r="N209" s="8"/>
    </row>
    <row r="210" spans="1:14" ht="51" customHeight="1">
      <c r="A210" s="8" t="s">
        <v>1050</v>
      </c>
      <c r="B210" s="8" t="s">
        <v>275</v>
      </c>
      <c r="C210" s="8" t="s">
        <v>255</v>
      </c>
      <c r="D210" s="8" t="s">
        <v>154</v>
      </c>
      <c r="E210" s="8" t="s">
        <v>1051</v>
      </c>
      <c r="F210" s="3" t="s">
        <v>277</v>
      </c>
      <c r="G210" s="8" t="s">
        <v>89</v>
      </c>
      <c r="H210" s="8">
        <v>1</v>
      </c>
      <c r="I210" s="8" t="s">
        <v>1047</v>
      </c>
      <c r="J210" s="3" t="s">
        <v>1052</v>
      </c>
      <c r="K210" s="8" t="s">
        <v>475</v>
      </c>
      <c r="L210" s="13">
        <v>0</v>
      </c>
      <c r="M210" s="8"/>
      <c r="N210" s="8"/>
    </row>
    <row r="211" spans="1:14" ht="51" customHeight="1">
      <c r="A211" s="8" t="s">
        <v>1053</v>
      </c>
      <c r="B211" s="8" t="s">
        <v>275</v>
      </c>
      <c r="C211" s="8" t="s">
        <v>255</v>
      </c>
      <c r="D211" s="8" t="s">
        <v>154</v>
      </c>
      <c r="E211" s="8" t="s">
        <v>1054</v>
      </c>
      <c r="F211" s="3" t="s">
        <v>277</v>
      </c>
      <c r="G211" s="8" t="s">
        <v>89</v>
      </c>
      <c r="H211" s="8">
        <v>1</v>
      </c>
      <c r="I211" s="8" t="s">
        <v>1050</v>
      </c>
      <c r="J211" s="3" t="s">
        <v>279</v>
      </c>
      <c r="K211" s="8" t="s">
        <v>475</v>
      </c>
      <c r="L211" s="13">
        <v>0</v>
      </c>
      <c r="M211" s="8"/>
      <c r="N211" s="8"/>
    </row>
    <row r="212" spans="1:14" ht="51" customHeight="1">
      <c r="A212" s="8" t="s">
        <v>1055</v>
      </c>
      <c r="B212" s="8" t="s">
        <v>275</v>
      </c>
      <c r="C212" s="8" t="s">
        <v>255</v>
      </c>
      <c r="D212" s="8" t="s">
        <v>154</v>
      </c>
      <c r="E212" s="8" t="s">
        <v>1056</v>
      </c>
      <c r="F212" s="3" t="s">
        <v>277</v>
      </c>
      <c r="G212" s="8" t="s">
        <v>89</v>
      </c>
      <c r="H212" s="8">
        <v>1</v>
      </c>
      <c r="I212" s="8" t="s">
        <v>1053</v>
      </c>
      <c r="J212" s="3" t="s">
        <v>1057</v>
      </c>
      <c r="K212" s="8" t="s">
        <v>475</v>
      </c>
      <c r="L212" s="13">
        <v>0</v>
      </c>
      <c r="M212" s="8"/>
      <c r="N212" s="8"/>
    </row>
    <row r="213" spans="1:14" ht="51" customHeight="1">
      <c r="A213" s="8" t="s">
        <v>1058</v>
      </c>
      <c r="B213" s="8" t="s">
        <v>275</v>
      </c>
      <c r="C213" s="8" t="s">
        <v>255</v>
      </c>
      <c r="D213" s="8" t="s">
        <v>154</v>
      </c>
      <c r="E213" s="8" t="s">
        <v>1059</v>
      </c>
      <c r="F213" s="3" t="s">
        <v>277</v>
      </c>
      <c r="G213" s="8" t="s">
        <v>89</v>
      </c>
      <c r="H213" s="8">
        <v>0.5</v>
      </c>
      <c r="I213" s="8" t="s">
        <v>1055</v>
      </c>
      <c r="J213" s="3" t="s">
        <v>1060</v>
      </c>
      <c r="K213" s="8" t="s">
        <v>475</v>
      </c>
      <c r="L213" s="13">
        <v>0</v>
      </c>
      <c r="M213" s="8"/>
      <c r="N213" s="8"/>
    </row>
    <row r="214" spans="1:14" ht="51" customHeight="1">
      <c r="A214" s="8" t="s">
        <v>1061</v>
      </c>
      <c r="B214" s="8" t="s">
        <v>280</v>
      </c>
      <c r="C214" s="8" t="s">
        <v>281</v>
      </c>
      <c r="D214" s="8" t="s">
        <v>282</v>
      </c>
      <c r="E214" s="8" t="s">
        <v>1062</v>
      </c>
      <c r="F214" s="3" t="s">
        <v>284</v>
      </c>
      <c r="G214" s="8" t="s">
        <v>55</v>
      </c>
      <c r="H214" s="8">
        <v>0.5</v>
      </c>
      <c r="I214" s="8" t="s">
        <v>1058</v>
      </c>
      <c r="J214" s="3" t="s">
        <v>1063</v>
      </c>
      <c r="K214" s="8" t="s">
        <v>475</v>
      </c>
      <c r="L214" s="13">
        <v>0</v>
      </c>
      <c r="M214" s="8"/>
      <c r="N214" s="8"/>
    </row>
    <row r="215" spans="1:14" ht="51" customHeight="1">
      <c r="A215" s="8" t="s">
        <v>1064</v>
      </c>
      <c r="B215" s="8" t="s">
        <v>280</v>
      </c>
      <c r="C215" s="8" t="s">
        <v>281</v>
      </c>
      <c r="D215" s="8" t="s">
        <v>282</v>
      </c>
      <c r="E215" s="8" t="s">
        <v>1065</v>
      </c>
      <c r="F215" s="3" t="s">
        <v>284</v>
      </c>
      <c r="G215" s="8" t="s">
        <v>55</v>
      </c>
      <c r="H215" s="8">
        <v>1</v>
      </c>
      <c r="I215" s="8" t="s">
        <v>1061</v>
      </c>
      <c r="J215" s="3" t="s">
        <v>1066</v>
      </c>
      <c r="K215" s="8" t="s">
        <v>475</v>
      </c>
      <c r="L215" s="13">
        <v>0</v>
      </c>
      <c r="M215" s="8"/>
      <c r="N215" s="8"/>
    </row>
    <row r="216" spans="1:14" ht="51" customHeight="1">
      <c r="A216" s="8" t="s">
        <v>1067</v>
      </c>
      <c r="B216" s="8" t="s">
        <v>280</v>
      </c>
      <c r="C216" s="8" t="s">
        <v>281</v>
      </c>
      <c r="D216" s="8" t="s">
        <v>282</v>
      </c>
      <c r="E216" s="8" t="s">
        <v>1068</v>
      </c>
      <c r="F216" s="3" t="s">
        <v>284</v>
      </c>
      <c r="G216" s="8" t="s">
        <v>55</v>
      </c>
      <c r="H216" s="8">
        <v>1.5</v>
      </c>
      <c r="I216" s="8" t="s">
        <v>1064</v>
      </c>
      <c r="J216" s="3" t="s">
        <v>286</v>
      </c>
      <c r="K216" s="8" t="s">
        <v>475</v>
      </c>
      <c r="L216" s="13">
        <v>0</v>
      </c>
      <c r="M216" s="8"/>
      <c r="N216" s="8"/>
    </row>
    <row r="217" spans="1:14" ht="51" customHeight="1">
      <c r="A217" s="8" t="s">
        <v>1069</v>
      </c>
      <c r="B217" s="8" t="s">
        <v>280</v>
      </c>
      <c r="C217" s="8" t="s">
        <v>281</v>
      </c>
      <c r="D217" s="8" t="s">
        <v>282</v>
      </c>
      <c r="E217" s="8" t="s">
        <v>1070</v>
      </c>
      <c r="F217" s="3" t="s">
        <v>284</v>
      </c>
      <c r="G217" s="8" t="s">
        <v>55</v>
      </c>
      <c r="H217" s="8">
        <v>1</v>
      </c>
      <c r="I217" s="8" t="s">
        <v>1067</v>
      </c>
      <c r="J217" s="3" t="s">
        <v>1071</v>
      </c>
      <c r="K217" s="8" t="s">
        <v>475</v>
      </c>
      <c r="L217" s="13">
        <v>0</v>
      </c>
      <c r="M217" s="8"/>
      <c r="N217" s="8"/>
    </row>
    <row r="218" spans="1:14" ht="51" customHeight="1">
      <c r="A218" s="8" t="s">
        <v>1072</v>
      </c>
      <c r="B218" s="8" t="s">
        <v>280</v>
      </c>
      <c r="C218" s="8" t="s">
        <v>281</v>
      </c>
      <c r="D218" s="8" t="s">
        <v>282</v>
      </c>
      <c r="E218" s="8" t="s">
        <v>1073</v>
      </c>
      <c r="F218" s="3" t="s">
        <v>284</v>
      </c>
      <c r="G218" s="8" t="s">
        <v>55</v>
      </c>
      <c r="H218" s="8">
        <v>0.5</v>
      </c>
      <c r="I218" s="8" t="s">
        <v>1069</v>
      </c>
      <c r="J218" s="3" t="s">
        <v>1074</v>
      </c>
      <c r="K218" s="8" t="s">
        <v>475</v>
      </c>
      <c r="L218" s="13">
        <v>0</v>
      </c>
      <c r="M218" s="8"/>
      <c r="N218" s="8"/>
    </row>
    <row r="219" spans="1:14" ht="51" customHeight="1">
      <c r="A219" s="8" t="s">
        <v>1075</v>
      </c>
      <c r="B219" s="8" t="s">
        <v>287</v>
      </c>
      <c r="C219" s="8" t="s">
        <v>281</v>
      </c>
      <c r="D219" s="8" t="s">
        <v>288</v>
      </c>
      <c r="E219" s="8" t="s">
        <v>1076</v>
      </c>
      <c r="F219" s="3" t="s">
        <v>290</v>
      </c>
      <c r="G219" s="8" t="s">
        <v>55</v>
      </c>
      <c r="H219" s="8">
        <v>1</v>
      </c>
      <c r="I219" s="8" t="s">
        <v>1072</v>
      </c>
      <c r="J219" s="3" t="s">
        <v>1077</v>
      </c>
      <c r="K219" s="8" t="s">
        <v>475</v>
      </c>
      <c r="L219" s="13">
        <v>0</v>
      </c>
      <c r="M219" s="8"/>
      <c r="N219" s="8"/>
    </row>
    <row r="220" spans="1:14" ht="51" customHeight="1">
      <c r="A220" s="8" t="s">
        <v>1078</v>
      </c>
      <c r="B220" s="8" t="s">
        <v>287</v>
      </c>
      <c r="C220" s="8" t="s">
        <v>281</v>
      </c>
      <c r="D220" s="8" t="s">
        <v>288</v>
      </c>
      <c r="E220" s="8" t="s">
        <v>1079</v>
      </c>
      <c r="F220" s="3" t="s">
        <v>290</v>
      </c>
      <c r="G220" s="8" t="s">
        <v>55</v>
      </c>
      <c r="H220" s="8">
        <v>1</v>
      </c>
      <c r="I220" s="8" t="s">
        <v>1075</v>
      </c>
      <c r="J220" s="3" t="s">
        <v>1080</v>
      </c>
      <c r="K220" s="8" t="s">
        <v>475</v>
      </c>
      <c r="L220" s="13">
        <v>0</v>
      </c>
      <c r="M220" s="8"/>
      <c r="N220" s="8"/>
    </row>
    <row r="221" spans="1:14" ht="51" customHeight="1">
      <c r="A221" s="8" t="s">
        <v>1081</v>
      </c>
      <c r="B221" s="8" t="s">
        <v>287</v>
      </c>
      <c r="C221" s="8" t="s">
        <v>281</v>
      </c>
      <c r="D221" s="8" t="s">
        <v>288</v>
      </c>
      <c r="E221" s="8" t="s">
        <v>1082</v>
      </c>
      <c r="F221" s="3" t="s">
        <v>290</v>
      </c>
      <c r="G221" s="8" t="s">
        <v>55</v>
      </c>
      <c r="H221" s="8">
        <v>2</v>
      </c>
      <c r="I221" s="8" t="s">
        <v>1078</v>
      </c>
      <c r="J221" s="3" t="s">
        <v>292</v>
      </c>
      <c r="K221" s="8" t="s">
        <v>475</v>
      </c>
      <c r="L221" s="13">
        <v>0</v>
      </c>
      <c r="M221" s="8"/>
      <c r="N221" s="8"/>
    </row>
    <row r="222" spans="1:14" ht="51" customHeight="1">
      <c r="A222" s="8" t="s">
        <v>1083</v>
      </c>
      <c r="B222" s="8" t="s">
        <v>287</v>
      </c>
      <c r="C222" s="8" t="s">
        <v>281</v>
      </c>
      <c r="D222" s="8" t="s">
        <v>288</v>
      </c>
      <c r="E222" s="8" t="s">
        <v>1084</v>
      </c>
      <c r="F222" s="3" t="s">
        <v>290</v>
      </c>
      <c r="G222" s="8" t="s">
        <v>55</v>
      </c>
      <c r="H222" s="8">
        <v>1</v>
      </c>
      <c r="I222" s="8" t="s">
        <v>1081</v>
      </c>
      <c r="J222" s="3" t="s">
        <v>1085</v>
      </c>
      <c r="K222" s="8" t="s">
        <v>475</v>
      </c>
      <c r="L222" s="13">
        <v>0</v>
      </c>
      <c r="M222" s="8"/>
      <c r="N222" s="8"/>
    </row>
    <row r="223" spans="1:14" ht="51" customHeight="1">
      <c r="A223" s="8" t="s">
        <v>1086</v>
      </c>
      <c r="B223" s="8" t="s">
        <v>287</v>
      </c>
      <c r="C223" s="8" t="s">
        <v>281</v>
      </c>
      <c r="D223" s="8" t="s">
        <v>288</v>
      </c>
      <c r="E223" s="8" t="s">
        <v>1087</v>
      </c>
      <c r="F223" s="3" t="s">
        <v>290</v>
      </c>
      <c r="G223" s="8" t="s">
        <v>55</v>
      </c>
      <c r="H223" s="8">
        <v>0.5</v>
      </c>
      <c r="I223" s="8" t="s">
        <v>1083</v>
      </c>
      <c r="J223" s="3" t="s">
        <v>1088</v>
      </c>
      <c r="K223" s="8" t="s">
        <v>475</v>
      </c>
      <c r="L223" s="13">
        <v>0</v>
      </c>
      <c r="M223" s="8"/>
      <c r="N223" s="8"/>
    </row>
    <row r="224" spans="1:14" ht="51" customHeight="1">
      <c r="A224" s="8" t="s">
        <v>1089</v>
      </c>
      <c r="B224" s="8" t="s">
        <v>293</v>
      </c>
      <c r="C224" s="8" t="s">
        <v>281</v>
      </c>
      <c r="D224" s="8" t="s">
        <v>282</v>
      </c>
      <c r="E224" s="8" t="s">
        <v>1090</v>
      </c>
      <c r="F224" s="3" t="s">
        <v>295</v>
      </c>
      <c r="G224" s="8" t="s">
        <v>55</v>
      </c>
      <c r="H224" s="8">
        <v>1</v>
      </c>
      <c r="I224" s="8" t="s">
        <v>1086</v>
      </c>
      <c r="J224" s="3" t="s">
        <v>1091</v>
      </c>
      <c r="K224" s="8" t="s">
        <v>475</v>
      </c>
      <c r="L224" s="13">
        <v>0</v>
      </c>
      <c r="M224" s="8"/>
      <c r="N224" s="8"/>
    </row>
    <row r="225" spans="1:14" ht="51" customHeight="1">
      <c r="A225" s="8" t="s">
        <v>1092</v>
      </c>
      <c r="B225" s="8" t="s">
        <v>293</v>
      </c>
      <c r="C225" s="8" t="s">
        <v>281</v>
      </c>
      <c r="D225" s="8" t="s">
        <v>282</v>
      </c>
      <c r="E225" s="8" t="s">
        <v>1093</v>
      </c>
      <c r="F225" s="3" t="s">
        <v>295</v>
      </c>
      <c r="G225" s="8" t="s">
        <v>55</v>
      </c>
      <c r="H225" s="8">
        <v>1</v>
      </c>
      <c r="I225" s="8" t="s">
        <v>1089</v>
      </c>
      <c r="J225" s="3" t="s">
        <v>1094</v>
      </c>
      <c r="K225" s="8" t="s">
        <v>475</v>
      </c>
      <c r="L225" s="13">
        <v>0</v>
      </c>
      <c r="M225" s="8"/>
      <c r="N225" s="8"/>
    </row>
    <row r="226" spans="1:14" ht="51" customHeight="1">
      <c r="A226" s="8" t="s">
        <v>1095</v>
      </c>
      <c r="B226" s="8" t="s">
        <v>293</v>
      </c>
      <c r="C226" s="8" t="s">
        <v>281</v>
      </c>
      <c r="D226" s="8" t="s">
        <v>282</v>
      </c>
      <c r="E226" s="8" t="s">
        <v>1096</v>
      </c>
      <c r="F226" s="3" t="s">
        <v>295</v>
      </c>
      <c r="G226" s="8" t="s">
        <v>55</v>
      </c>
      <c r="H226" s="8">
        <v>2</v>
      </c>
      <c r="I226" s="8" t="s">
        <v>1092</v>
      </c>
      <c r="J226" s="3" t="s">
        <v>297</v>
      </c>
      <c r="K226" s="8" t="s">
        <v>475</v>
      </c>
      <c r="L226" s="13">
        <v>0</v>
      </c>
      <c r="M226" s="8"/>
      <c r="N226" s="8"/>
    </row>
    <row r="227" spans="1:14" ht="51" customHeight="1">
      <c r="A227" s="8" t="s">
        <v>1097</v>
      </c>
      <c r="B227" s="8" t="s">
        <v>293</v>
      </c>
      <c r="C227" s="8" t="s">
        <v>281</v>
      </c>
      <c r="D227" s="8" t="s">
        <v>282</v>
      </c>
      <c r="E227" s="8" t="s">
        <v>1098</v>
      </c>
      <c r="F227" s="3" t="s">
        <v>295</v>
      </c>
      <c r="G227" s="8" t="s">
        <v>55</v>
      </c>
      <c r="H227" s="8">
        <v>1</v>
      </c>
      <c r="I227" s="8" t="s">
        <v>1095</v>
      </c>
      <c r="J227" s="3" t="s">
        <v>1099</v>
      </c>
      <c r="K227" s="8" t="s">
        <v>475</v>
      </c>
      <c r="L227" s="13">
        <v>0</v>
      </c>
      <c r="M227" s="8"/>
      <c r="N227" s="8"/>
    </row>
    <row r="228" spans="1:14" ht="51" customHeight="1">
      <c r="A228" s="8" t="s">
        <v>1100</v>
      </c>
      <c r="B228" s="8" t="s">
        <v>293</v>
      </c>
      <c r="C228" s="8" t="s">
        <v>281</v>
      </c>
      <c r="D228" s="8" t="s">
        <v>282</v>
      </c>
      <c r="E228" s="8" t="s">
        <v>1101</v>
      </c>
      <c r="F228" s="3" t="s">
        <v>295</v>
      </c>
      <c r="G228" s="8" t="s">
        <v>55</v>
      </c>
      <c r="H228" s="8">
        <v>0.5</v>
      </c>
      <c r="I228" s="8" t="s">
        <v>1097</v>
      </c>
      <c r="J228" s="3" t="s">
        <v>1102</v>
      </c>
      <c r="K228" s="8" t="s">
        <v>475</v>
      </c>
      <c r="L228" s="13">
        <v>0</v>
      </c>
      <c r="M228" s="8"/>
      <c r="N228" s="8"/>
    </row>
    <row r="229" spans="1:14" ht="51" customHeight="1">
      <c r="A229" s="8" t="s">
        <v>1103</v>
      </c>
      <c r="B229" s="8" t="s">
        <v>298</v>
      </c>
      <c r="C229" s="8" t="s">
        <v>281</v>
      </c>
      <c r="D229" s="8" t="s">
        <v>299</v>
      </c>
      <c r="E229" s="8" t="s">
        <v>1104</v>
      </c>
      <c r="F229" s="3" t="s">
        <v>301</v>
      </c>
      <c r="G229" s="8" t="s">
        <v>55</v>
      </c>
      <c r="H229" s="8">
        <v>1</v>
      </c>
      <c r="I229" s="8" t="s">
        <v>1100</v>
      </c>
      <c r="J229" s="3" t="s">
        <v>1105</v>
      </c>
      <c r="K229" s="8" t="s">
        <v>475</v>
      </c>
      <c r="L229" s="13">
        <v>0</v>
      </c>
      <c r="M229" s="8"/>
      <c r="N229" s="8"/>
    </row>
    <row r="230" spans="1:14" ht="51" customHeight="1">
      <c r="A230" s="8" t="s">
        <v>1106</v>
      </c>
      <c r="B230" s="8" t="s">
        <v>298</v>
      </c>
      <c r="C230" s="8" t="s">
        <v>281</v>
      </c>
      <c r="D230" s="8" t="s">
        <v>299</v>
      </c>
      <c r="E230" s="8" t="s">
        <v>1107</v>
      </c>
      <c r="F230" s="3" t="s">
        <v>301</v>
      </c>
      <c r="G230" s="8" t="s">
        <v>55</v>
      </c>
      <c r="H230" s="8">
        <v>1</v>
      </c>
      <c r="I230" s="8" t="s">
        <v>1103</v>
      </c>
      <c r="J230" s="3" t="s">
        <v>1108</v>
      </c>
      <c r="K230" s="8" t="s">
        <v>475</v>
      </c>
      <c r="L230" s="13">
        <v>0</v>
      </c>
      <c r="M230" s="8"/>
      <c r="N230" s="8"/>
    </row>
    <row r="231" spans="1:14" ht="51" customHeight="1">
      <c r="A231" s="8" t="s">
        <v>1109</v>
      </c>
      <c r="B231" s="8" t="s">
        <v>298</v>
      </c>
      <c r="C231" s="8" t="s">
        <v>281</v>
      </c>
      <c r="D231" s="8" t="s">
        <v>299</v>
      </c>
      <c r="E231" s="8" t="s">
        <v>1110</v>
      </c>
      <c r="F231" s="3" t="s">
        <v>301</v>
      </c>
      <c r="G231" s="8" t="s">
        <v>55</v>
      </c>
      <c r="H231" s="8">
        <v>2</v>
      </c>
      <c r="I231" s="8" t="s">
        <v>1106</v>
      </c>
      <c r="J231" s="3" t="s">
        <v>303</v>
      </c>
      <c r="K231" s="8" t="s">
        <v>475</v>
      </c>
      <c r="L231" s="13">
        <v>0</v>
      </c>
      <c r="M231" s="8"/>
      <c r="N231" s="8"/>
    </row>
    <row r="232" spans="1:14" ht="51" customHeight="1">
      <c r="A232" s="8" t="s">
        <v>1111</v>
      </c>
      <c r="B232" s="8" t="s">
        <v>298</v>
      </c>
      <c r="C232" s="8" t="s">
        <v>281</v>
      </c>
      <c r="D232" s="8" t="s">
        <v>299</v>
      </c>
      <c r="E232" s="8" t="s">
        <v>1112</v>
      </c>
      <c r="F232" s="3" t="s">
        <v>301</v>
      </c>
      <c r="G232" s="8" t="s">
        <v>55</v>
      </c>
      <c r="H232" s="8">
        <v>1</v>
      </c>
      <c r="I232" s="8" t="s">
        <v>1109</v>
      </c>
      <c r="J232" s="3" t="s">
        <v>1113</v>
      </c>
      <c r="K232" s="8" t="s">
        <v>475</v>
      </c>
      <c r="L232" s="13">
        <v>0</v>
      </c>
      <c r="M232" s="8"/>
      <c r="N232" s="8"/>
    </row>
    <row r="233" spans="1:14" ht="51" customHeight="1">
      <c r="A233" s="8" t="s">
        <v>1114</v>
      </c>
      <c r="B233" s="8" t="s">
        <v>298</v>
      </c>
      <c r="C233" s="8" t="s">
        <v>281</v>
      </c>
      <c r="D233" s="8" t="s">
        <v>299</v>
      </c>
      <c r="E233" s="8" t="s">
        <v>1115</v>
      </c>
      <c r="F233" s="3" t="s">
        <v>301</v>
      </c>
      <c r="G233" s="8" t="s">
        <v>55</v>
      </c>
      <c r="H233" s="8">
        <v>0.5</v>
      </c>
      <c r="I233" s="8" t="s">
        <v>1111</v>
      </c>
      <c r="J233" s="3" t="s">
        <v>1116</v>
      </c>
      <c r="K233" s="8" t="s">
        <v>475</v>
      </c>
      <c r="L233" s="13">
        <v>0</v>
      </c>
      <c r="M233" s="8"/>
      <c r="N233" s="8"/>
    </row>
    <row r="234" spans="1:14" ht="51" customHeight="1">
      <c r="A234" s="8" t="s">
        <v>1117</v>
      </c>
      <c r="B234" s="8" t="s">
        <v>304</v>
      </c>
      <c r="C234" s="8" t="s">
        <v>281</v>
      </c>
      <c r="D234" s="8" t="s">
        <v>193</v>
      </c>
      <c r="E234" s="8" t="s">
        <v>1118</v>
      </c>
      <c r="F234" s="3" t="s">
        <v>306</v>
      </c>
      <c r="G234" s="8" t="s">
        <v>55</v>
      </c>
      <c r="H234" s="8">
        <v>1</v>
      </c>
      <c r="I234" s="8" t="s">
        <v>1114</v>
      </c>
      <c r="J234" s="3" t="s">
        <v>1119</v>
      </c>
      <c r="K234" s="8" t="s">
        <v>475</v>
      </c>
      <c r="L234" s="13">
        <v>0</v>
      </c>
      <c r="M234" s="8"/>
      <c r="N234" s="8"/>
    </row>
    <row r="235" spans="1:14" ht="51" customHeight="1">
      <c r="A235" s="8" t="s">
        <v>1120</v>
      </c>
      <c r="B235" s="8" t="s">
        <v>304</v>
      </c>
      <c r="C235" s="8" t="s">
        <v>281</v>
      </c>
      <c r="D235" s="8" t="s">
        <v>193</v>
      </c>
      <c r="E235" s="8" t="s">
        <v>1121</v>
      </c>
      <c r="F235" s="3" t="s">
        <v>306</v>
      </c>
      <c r="G235" s="8" t="s">
        <v>55</v>
      </c>
      <c r="H235" s="8">
        <v>1</v>
      </c>
      <c r="I235" s="8" t="s">
        <v>1117</v>
      </c>
      <c r="J235" s="3" t="s">
        <v>1122</v>
      </c>
      <c r="K235" s="8" t="s">
        <v>475</v>
      </c>
      <c r="L235" s="13">
        <v>0</v>
      </c>
      <c r="M235" s="8"/>
      <c r="N235" s="8"/>
    </row>
    <row r="236" spans="1:14" ht="51" customHeight="1">
      <c r="A236" s="8" t="s">
        <v>1123</v>
      </c>
      <c r="B236" s="8" t="s">
        <v>304</v>
      </c>
      <c r="C236" s="8" t="s">
        <v>281</v>
      </c>
      <c r="D236" s="8" t="s">
        <v>193</v>
      </c>
      <c r="E236" s="8" t="s">
        <v>1124</v>
      </c>
      <c r="F236" s="3" t="s">
        <v>306</v>
      </c>
      <c r="G236" s="8" t="s">
        <v>55</v>
      </c>
      <c r="H236" s="8">
        <v>1.5</v>
      </c>
      <c r="I236" s="8" t="s">
        <v>1120</v>
      </c>
      <c r="J236" s="3" t="s">
        <v>308</v>
      </c>
      <c r="K236" s="8" t="s">
        <v>475</v>
      </c>
      <c r="L236" s="13">
        <v>0</v>
      </c>
      <c r="M236" s="8"/>
      <c r="N236" s="8"/>
    </row>
    <row r="237" spans="1:14" ht="51" customHeight="1">
      <c r="A237" s="8" t="s">
        <v>1125</v>
      </c>
      <c r="B237" s="8" t="s">
        <v>304</v>
      </c>
      <c r="C237" s="8" t="s">
        <v>281</v>
      </c>
      <c r="D237" s="8" t="s">
        <v>193</v>
      </c>
      <c r="E237" s="8" t="s">
        <v>1126</v>
      </c>
      <c r="F237" s="3" t="s">
        <v>306</v>
      </c>
      <c r="G237" s="8" t="s">
        <v>55</v>
      </c>
      <c r="H237" s="8">
        <v>1</v>
      </c>
      <c r="I237" s="8" t="s">
        <v>1123</v>
      </c>
      <c r="J237" s="3" t="s">
        <v>1127</v>
      </c>
      <c r="K237" s="8" t="s">
        <v>475</v>
      </c>
      <c r="L237" s="13">
        <v>0</v>
      </c>
      <c r="M237" s="8"/>
      <c r="N237" s="8"/>
    </row>
    <row r="238" spans="1:14" ht="51" customHeight="1">
      <c r="A238" s="8" t="s">
        <v>1128</v>
      </c>
      <c r="B238" s="8" t="s">
        <v>304</v>
      </c>
      <c r="C238" s="8" t="s">
        <v>281</v>
      </c>
      <c r="D238" s="8" t="s">
        <v>193</v>
      </c>
      <c r="E238" s="8" t="s">
        <v>1129</v>
      </c>
      <c r="F238" s="3" t="s">
        <v>306</v>
      </c>
      <c r="G238" s="8" t="s">
        <v>55</v>
      </c>
      <c r="H238" s="8">
        <v>0.5</v>
      </c>
      <c r="I238" s="8" t="s">
        <v>1125</v>
      </c>
      <c r="J238" s="3" t="s">
        <v>1130</v>
      </c>
      <c r="K238" s="8" t="s">
        <v>475</v>
      </c>
      <c r="L238" s="13">
        <v>0</v>
      </c>
      <c r="M238" s="8"/>
      <c r="N238" s="8"/>
    </row>
    <row r="239" spans="1:14" ht="51" customHeight="1">
      <c r="A239" s="8" t="s">
        <v>1131</v>
      </c>
      <c r="B239" s="8" t="s">
        <v>309</v>
      </c>
      <c r="C239" s="8" t="s">
        <v>281</v>
      </c>
      <c r="D239" s="8" t="s">
        <v>310</v>
      </c>
      <c r="E239" s="8" t="s">
        <v>1132</v>
      </c>
      <c r="F239" s="3" t="s">
        <v>312</v>
      </c>
      <c r="G239" s="8" t="s">
        <v>89</v>
      </c>
      <c r="H239" s="8">
        <v>0.5</v>
      </c>
      <c r="I239" s="8" t="s">
        <v>1128</v>
      </c>
      <c r="J239" s="3" t="s">
        <v>1133</v>
      </c>
      <c r="K239" s="8" t="s">
        <v>475</v>
      </c>
      <c r="L239" s="13">
        <v>0</v>
      </c>
      <c r="M239" s="8"/>
      <c r="N239" s="8"/>
    </row>
    <row r="240" spans="1:14" ht="51" customHeight="1">
      <c r="A240" s="8" t="s">
        <v>1134</v>
      </c>
      <c r="B240" s="8" t="s">
        <v>309</v>
      </c>
      <c r="C240" s="8" t="s">
        <v>281</v>
      </c>
      <c r="D240" s="8" t="s">
        <v>310</v>
      </c>
      <c r="E240" s="8" t="s">
        <v>1135</v>
      </c>
      <c r="F240" s="3" t="s">
        <v>312</v>
      </c>
      <c r="G240" s="8" t="s">
        <v>89</v>
      </c>
      <c r="H240" s="8">
        <v>0.5</v>
      </c>
      <c r="I240" s="8" t="s">
        <v>1131</v>
      </c>
      <c r="J240" s="3" t="s">
        <v>1136</v>
      </c>
      <c r="K240" s="8" t="s">
        <v>475</v>
      </c>
      <c r="L240" s="13">
        <v>0</v>
      </c>
      <c r="M240" s="8"/>
      <c r="N240" s="8"/>
    </row>
    <row r="241" spans="1:14" ht="51" customHeight="1">
      <c r="A241" s="8" t="s">
        <v>1137</v>
      </c>
      <c r="B241" s="8" t="s">
        <v>309</v>
      </c>
      <c r="C241" s="8" t="s">
        <v>281</v>
      </c>
      <c r="D241" s="8" t="s">
        <v>310</v>
      </c>
      <c r="E241" s="8" t="s">
        <v>1138</v>
      </c>
      <c r="F241" s="3" t="s">
        <v>312</v>
      </c>
      <c r="G241" s="8" t="s">
        <v>89</v>
      </c>
      <c r="H241" s="8">
        <v>1.5</v>
      </c>
      <c r="I241" s="8" t="s">
        <v>1134</v>
      </c>
      <c r="J241" s="3" t="s">
        <v>314</v>
      </c>
      <c r="K241" s="8" t="s">
        <v>475</v>
      </c>
      <c r="L241" s="13">
        <v>0</v>
      </c>
      <c r="M241" s="8"/>
      <c r="N241" s="8"/>
    </row>
    <row r="242" spans="1:14" ht="51" customHeight="1">
      <c r="A242" s="8" t="s">
        <v>1139</v>
      </c>
      <c r="B242" s="8" t="s">
        <v>309</v>
      </c>
      <c r="C242" s="8" t="s">
        <v>281</v>
      </c>
      <c r="D242" s="8" t="s">
        <v>310</v>
      </c>
      <c r="E242" s="8" t="s">
        <v>1140</v>
      </c>
      <c r="F242" s="3" t="s">
        <v>312</v>
      </c>
      <c r="G242" s="8" t="s">
        <v>89</v>
      </c>
      <c r="H242" s="8">
        <v>1</v>
      </c>
      <c r="I242" s="8" t="s">
        <v>1137</v>
      </c>
      <c r="J242" s="3" t="s">
        <v>1141</v>
      </c>
      <c r="K242" s="8" t="s">
        <v>475</v>
      </c>
      <c r="L242" s="13">
        <v>0</v>
      </c>
      <c r="M242" s="8"/>
      <c r="N242" s="8"/>
    </row>
    <row r="243" spans="1:14" ht="51" customHeight="1">
      <c r="A243" s="8" t="s">
        <v>1142</v>
      </c>
      <c r="B243" s="8" t="s">
        <v>309</v>
      </c>
      <c r="C243" s="8" t="s">
        <v>281</v>
      </c>
      <c r="D243" s="8" t="s">
        <v>310</v>
      </c>
      <c r="E243" s="8" t="s">
        <v>1143</v>
      </c>
      <c r="F243" s="3" t="s">
        <v>312</v>
      </c>
      <c r="G243" s="8" t="s">
        <v>89</v>
      </c>
      <c r="H243" s="8">
        <v>0.5</v>
      </c>
      <c r="I243" s="8" t="s">
        <v>1139</v>
      </c>
      <c r="J243" s="3" t="s">
        <v>1144</v>
      </c>
      <c r="K243" s="8" t="s">
        <v>475</v>
      </c>
      <c r="L243" s="13">
        <v>0</v>
      </c>
      <c r="M243" s="8"/>
      <c r="N243" s="8"/>
    </row>
    <row r="244" spans="1:14" ht="51" customHeight="1">
      <c r="A244" s="8" t="s">
        <v>1145</v>
      </c>
      <c r="B244" s="8" t="s">
        <v>315</v>
      </c>
      <c r="C244" s="8" t="s">
        <v>281</v>
      </c>
      <c r="D244" s="8" t="s">
        <v>142</v>
      </c>
      <c r="E244" s="8" t="s">
        <v>1146</v>
      </c>
      <c r="F244" s="3" t="s">
        <v>317</v>
      </c>
      <c r="G244" s="8" t="s">
        <v>89</v>
      </c>
      <c r="H244" s="8">
        <v>1</v>
      </c>
      <c r="I244" s="8" t="s">
        <v>1142</v>
      </c>
      <c r="J244" s="3" t="s">
        <v>1147</v>
      </c>
      <c r="K244" s="8" t="s">
        <v>475</v>
      </c>
      <c r="L244" s="13">
        <v>0</v>
      </c>
      <c r="M244" s="8"/>
      <c r="N244" s="8"/>
    </row>
    <row r="245" spans="1:14" ht="51" customHeight="1">
      <c r="A245" s="8" t="s">
        <v>1148</v>
      </c>
      <c r="B245" s="8" t="s">
        <v>315</v>
      </c>
      <c r="C245" s="8" t="s">
        <v>281</v>
      </c>
      <c r="D245" s="8" t="s">
        <v>142</v>
      </c>
      <c r="E245" s="8" t="s">
        <v>1149</v>
      </c>
      <c r="F245" s="3" t="s">
        <v>317</v>
      </c>
      <c r="G245" s="8" t="s">
        <v>89</v>
      </c>
      <c r="H245" s="8">
        <v>0.5</v>
      </c>
      <c r="I245" s="8" t="s">
        <v>1145</v>
      </c>
      <c r="J245" s="3" t="s">
        <v>1150</v>
      </c>
      <c r="K245" s="8" t="s">
        <v>475</v>
      </c>
      <c r="L245" s="13">
        <v>0</v>
      </c>
      <c r="M245" s="8"/>
      <c r="N245" s="8"/>
    </row>
    <row r="246" spans="1:14" ht="51" customHeight="1">
      <c r="A246" s="8" t="s">
        <v>1151</v>
      </c>
      <c r="B246" s="8" t="s">
        <v>315</v>
      </c>
      <c r="C246" s="8" t="s">
        <v>281</v>
      </c>
      <c r="D246" s="8" t="s">
        <v>142</v>
      </c>
      <c r="E246" s="8" t="s">
        <v>1152</v>
      </c>
      <c r="F246" s="3" t="s">
        <v>317</v>
      </c>
      <c r="G246" s="8" t="s">
        <v>89</v>
      </c>
      <c r="H246" s="8">
        <v>2</v>
      </c>
      <c r="I246" s="8" t="s">
        <v>1148</v>
      </c>
      <c r="J246" s="3" t="s">
        <v>319</v>
      </c>
      <c r="K246" s="8" t="s">
        <v>475</v>
      </c>
      <c r="L246" s="13">
        <v>0</v>
      </c>
      <c r="M246" s="8"/>
      <c r="N246" s="8"/>
    </row>
    <row r="247" spans="1:14" ht="51" customHeight="1">
      <c r="A247" s="8" t="s">
        <v>1153</v>
      </c>
      <c r="B247" s="8" t="s">
        <v>315</v>
      </c>
      <c r="C247" s="8" t="s">
        <v>281</v>
      </c>
      <c r="D247" s="8" t="s">
        <v>142</v>
      </c>
      <c r="E247" s="8" t="s">
        <v>1154</v>
      </c>
      <c r="F247" s="3" t="s">
        <v>317</v>
      </c>
      <c r="G247" s="8" t="s">
        <v>89</v>
      </c>
      <c r="H247" s="8">
        <v>1</v>
      </c>
      <c r="I247" s="8" t="s">
        <v>1151</v>
      </c>
      <c r="J247" s="3" t="s">
        <v>1155</v>
      </c>
      <c r="K247" s="8" t="s">
        <v>475</v>
      </c>
      <c r="L247" s="13">
        <v>0</v>
      </c>
      <c r="M247" s="8"/>
      <c r="N247" s="8"/>
    </row>
    <row r="248" spans="1:14" ht="51" customHeight="1">
      <c r="A248" s="8" t="s">
        <v>1156</v>
      </c>
      <c r="B248" s="8" t="s">
        <v>315</v>
      </c>
      <c r="C248" s="8" t="s">
        <v>281</v>
      </c>
      <c r="D248" s="8" t="s">
        <v>142</v>
      </c>
      <c r="E248" s="8" t="s">
        <v>1157</v>
      </c>
      <c r="F248" s="3" t="s">
        <v>317</v>
      </c>
      <c r="G248" s="8" t="s">
        <v>89</v>
      </c>
      <c r="H248" s="8">
        <v>0.5</v>
      </c>
      <c r="I248" s="8" t="s">
        <v>1153</v>
      </c>
      <c r="J248" s="3" t="s">
        <v>1158</v>
      </c>
      <c r="K248" s="8" t="s">
        <v>475</v>
      </c>
      <c r="L248" s="13">
        <v>0</v>
      </c>
      <c r="M248" s="8"/>
      <c r="N248" s="8"/>
    </row>
    <row r="249" spans="1:14" ht="51" customHeight="1">
      <c r="A249" s="8" t="s">
        <v>1159</v>
      </c>
      <c r="B249" s="8" t="s">
        <v>320</v>
      </c>
      <c r="C249" s="8" t="s">
        <v>281</v>
      </c>
      <c r="D249" s="8" t="s">
        <v>321</v>
      </c>
      <c r="E249" s="8" t="s">
        <v>1160</v>
      </c>
      <c r="F249" s="3" t="s">
        <v>323</v>
      </c>
      <c r="G249" s="8" t="s">
        <v>89</v>
      </c>
      <c r="H249" s="8">
        <v>0.5</v>
      </c>
      <c r="I249" s="8" t="s">
        <v>1156</v>
      </c>
      <c r="J249" s="3" t="s">
        <v>1161</v>
      </c>
      <c r="K249" s="8" t="s">
        <v>475</v>
      </c>
      <c r="L249" s="13">
        <v>0</v>
      </c>
      <c r="M249" s="8"/>
      <c r="N249" s="8"/>
    </row>
    <row r="250" spans="1:14" ht="51" customHeight="1">
      <c r="A250" s="8" t="s">
        <v>1162</v>
      </c>
      <c r="B250" s="8" t="s">
        <v>320</v>
      </c>
      <c r="C250" s="8" t="s">
        <v>281</v>
      </c>
      <c r="D250" s="8" t="s">
        <v>321</v>
      </c>
      <c r="E250" s="8" t="s">
        <v>1163</v>
      </c>
      <c r="F250" s="3" t="s">
        <v>323</v>
      </c>
      <c r="G250" s="8" t="s">
        <v>89</v>
      </c>
      <c r="H250" s="8">
        <v>1</v>
      </c>
      <c r="I250" s="8" t="s">
        <v>1159</v>
      </c>
      <c r="J250" s="3" t="s">
        <v>1164</v>
      </c>
      <c r="K250" s="8" t="s">
        <v>475</v>
      </c>
      <c r="L250" s="13">
        <v>0</v>
      </c>
      <c r="M250" s="8"/>
      <c r="N250" s="8"/>
    </row>
    <row r="251" spans="1:14" ht="51" customHeight="1">
      <c r="A251" s="8" t="s">
        <v>1165</v>
      </c>
      <c r="B251" s="8" t="s">
        <v>320</v>
      </c>
      <c r="C251" s="8" t="s">
        <v>281</v>
      </c>
      <c r="D251" s="8" t="s">
        <v>321</v>
      </c>
      <c r="E251" s="8" t="s">
        <v>1166</v>
      </c>
      <c r="F251" s="3" t="s">
        <v>323</v>
      </c>
      <c r="G251" s="8" t="s">
        <v>89</v>
      </c>
      <c r="H251" s="8">
        <v>2</v>
      </c>
      <c r="I251" s="8" t="s">
        <v>1162</v>
      </c>
      <c r="J251" s="3" t="s">
        <v>325</v>
      </c>
      <c r="K251" s="8" t="s">
        <v>475</v>
      </c>
      <c r="L251" s="13">
        <v>0</v>
      </c>
      <c r="M251" s="8"/>
      <c r="N251" s="8"/>
    </row>
    <row r="252" spans="1:14" ht="51" customHeight="1">
      <c r="A252" s="8" t="s">
        <v>1167</v>
      </c>
      <c r="B252" s="8" t="s">
        <v>320</v>
      </c>
      <c r="C252" s="8" t="s">
        <v>281</v>
      </c>
      <c r="D252" s="8" t="s">
        <v>321</v>
      </c>
      <c r="E252" s="8" t="s">
        <v>1168</v>
      </c>
      <c r="F252" s="3" t="s">
        <v>323</v>
      </c>
      <c r="G252" s="8" t="s">
        <v>89</v>
      </c>
      <c r="H252" s="8">
        <v>1</v>
      </c>
      <c r="I252" s="8" t="s">
        <v>1165</v>
      </c>
      <c r="J252" s="3" t="s">
        <v>1169</v>
      </c>
      <c r="K252" s="8" t="s">
        <v>475</v>
      </c>
      <c r="L252" s="13">
        <v>0</v>
      </c>
      <c r="M252" s="8"/>
      <c r="N252" s="8"/>
    </row>
    <row r="253" spans="1:14" ht="51" customHeight="1">
      <c r="A253" s="8" t="s">
        <v>1170</v>
      </c>
      <c r="B253" s="8" t="s">
        <v>320</v>
      </c>
      <c r="C253" s="8" t="s">
        <v>281</v>
      </c>
      <c r="D253" s="8" t="s">
        <v>321</v>
      </c>
      <c r="E253" s="8" t="s">
        <v>1171</v>
      </c>
      <c r="F253" s="3" t="s">
        <v>323</v>
      </c>
      <c r="G253" s="8" t="s">
        <v>89</v>
      </c>
      <c r="H253" s="8">
        <v>0.5</v>
      </c>
      <c r="I253" s="8" t="s">
        <v>1167</v>
      </c>
      <c r="J253" s="3" t="s">
        <v>1172</v>
      </c>
      <c r="K253" s="8" t="s">
        <v>475</v>
      </c>
      <c r="L253" s="13">
        <v>0</v>
      </c>
      <c r="M253" s="8"/>
      <c r="N253" s="8"/>
    </row>
    <row r="254" spans="1:14" ht="51" customHeight="1">
      <c r="A254" s="8" t="s">
        <v>1173</v>
      </c>
      <c r="B254" s="8" t="s">
        <v>326</v>
      </c>
      <c r="C254" s="8" t="s">
        <v>281</v>
      </c>
      <c r="D254" s="8" t="s">
        <v>327</v>
      </c>
      <c r="E254" s="8" t="s">
        <v>1174</v>
      </c>
      <c r="F254" s="3" t="s">
        <v>329</v>
      </c>
      <c r="G254" s="8" t="s">
        <v>55</v>
      </c>
      <c r="H254" s="8">
        <v>0.5</v>
      </c>
      <c r="I254" s="8" t="s">
        <v>1170</v>
      </c>
      <c r="J254" s="3" t="s">
        <v>1175</v>
      </c>
      <c r="K254" s="8" t="s">
        <v>475</v>
      </c>
      <c r="L254" s="13">
        <v>0</v>
      </c>
      <c r="M254" s="8"/>
      <c r="N254" s="8"/>
    </row>
    <row r="255" spans="1:14" ht="51" customHeight="1">
      <c r="A255" s="8" t="s">
        <v>1176</v>
      </c>
      <c r="B255" s="8" t="s">
        <v>326</v>
      </c>
      <c r="C255" s="8" t="s">
        <v>281</v>
      </c>
      <c r="D255" s="8" t="s">
        <v>327</v>
      </c>
      <c r="E255" s="8" t="s">
        <v>1177</v>
      </c>
      <c r="F255" s="3" t="s">
        <v>329</v>
      </c>
      <c r="G255" s="8" t="s">
        <v>55</v>
      </c>
      <c r="H255" s="8">
        <v>0.5</v>
      </c>
      <c r="I255" s="8" t="s">
        <v>1173</v>
      </c>
      <c r="J255" s="3" t="s">
        <v>1178</v>
      </c>
      <c r="K255" s="8" t="s">
        <v>475</v>
      </c>
      <c r="L255" s="13">
        <v>0</v>
      </c>
      <c r="M255" s="8"/>
      <c r="N255" s="8"/>
    </row>
    <row r="256" spans="1:14" ht="51" customHeight="1">
      <c r="A256" s="8" t="s">
        <v>1179</v>
      </c>
      <c r="B256" s="8" t="s">
        <v>326</v>
      </c>
      <c r="C256" s="8" t="s">
        <v>281</v>
      </c>
      <c r="D256" s="8" t="s">
        <v>327</v>
      </c>
      <c r="E256" s="8" t="s">
        <v>1180</v>
      </c>
      <c r="F256" s="3" t="s">
        <v>329</v>
      </c>
      <c r="G256" s="8" t="s">
        <v>55</v>
      </c>
      <c r="H256" s="8">
        <v>1.5</v>
      </c>
      <c r="I256" s="8" t="s">
        <v>1176</v>
      </c>
      <c r="J256" s="3" t="s">
        <v>331</v>
      </c>
      <c r="K256" s="8" t="s">
        <v>475</v>
      </c>
      <c r="L256" s="13">
        <v>0</v>
      </c>
      <c r="M256" s="8"/>
      <c r="N256" s="8"/>
    </row>
    <row r="257" spans="1:14" ht="51" customHeight="1">
      <c r="A257" s="8" t="s">
        <v>1181</v>
      </c>
      <c r="B257" s="8" t="s">
        <v>326</v>
      </c>
      <c r="C257" s="8" t="s">
        <v>281</v>
      </c>
      <c r="D257" s="8" t="s">
        <v>327</v>
      </c>
      <c r="E257" s="8" t="s">
        <v>1182</v>
      </c>
      <c r="F257" s="3" t="s">
        <v>329</v>
      </c>
      <c r="G257" s="8" t="s">
        <v>55</v>
      </c>
      <c r="H257" s="8">
        <v>1</v>
      </c>
      <c r="I257" s="8" t="s">
        <v>1179</v>
      </c>
      <c r="J257" s="3" t="s">
        <v>1183</v>
      </c>
      <c r="K257" s="8" t="s">
        <v>475</v>
      </c>
      <c r="L257" s="13">
        <v>0</v>
      </c>
      <c r="M257" s="8"/>
      <c r="N257" s="8"/>
    </row>
    <row r="258" spans="1:14" ht="51" customHeight="1">
      <c r="A258" s="8" t="s">
        <v>1184</v>
      </c>
      <c r="B258" s="8" t="s">
        <v>326</v>
      </c>
      <c r="C258" s="8" t="s">
        <v>281</v>
      </c>
      <c r="D258" s="8" t="s">
        <v>327</v>
      </c>
      <c r="E258" s="8" t="s">
        <v>1185</v>
      </c>
      <c r="F258" s="3" t="s">
        <v>329</v>
      </c>
      <c r="G258" s="8" t="s">
        <v>55</v>
      </c>
      <c r="H258" s="8">
        <v>0.5</v>
      </c>
      <c r="I258" s="8" t="s">
        <v>1181</v>
      </c>
      <c r="J258" s="3" t="s">
        <v>1186</v>
      </c>
      <c r="K258" s="8" t="s">
        <v>475</v>
      </c>
      <c r="L258" s="13">
        <v>0</v>
      </c>
      <c r="M258" s="8"/>
      <c r="N258" s="8"/>
    </row>
    <row r="259" spans="1:14" ht="51" customHeight="1">
      <c r="A259" s="8" t="s">
        <v>1187</v>
      </c>
      <c r="B259" s="8" t="s">
        <v>332</v>
      </c>
      <c r="C259" s="8" t="s">
        <v>333</v>
      </c>
      <c r="D259" s="8" t="s">
        <v>334</v>
      </c>
      <c r="E259" s="8" t="s">
        <v>1188</v>
      </c>
      <c r="F259" s="3" t="s">
        <v>336</v>
      </c>
      <c r="G259" s="8" t="s">
        <v>55</v>
      </c>
      <c r="H259" s="8">
        <v>0.5</v>
      </c>
      <c r="I259" s="8" t="s">
        <v>1184</v>
      </c>
      <c r="J259" s="3" t="s">
        <v>1189</v>
      </c>
      <c r="K259" s="8" t="s">
        <v>475</v>
      </c>
      <c r="L259" s="13">
        <v>0</v>
      </c>
      <c r="M259" s="8"/>
      <c r="N259" s="8"/>
    </row>
    <row r="260" spans="1:14" ht="51" customHeight="1">
      <c r="A260" s="8" t="s">
        <v>1190</v>
      </c>
      <c r="B260" s="8" t="s">
        <v>332</v>
      </c>
      <c r="C260" s="8" t="s">
        <v>333</v>
      </c>
      <c r="D260" s="8" t="s">
        <v>334</v>
      </c>
      <c r="E260" s="8" t="s">
        <v>1191</v>
      </c>
      <c r="F260" s="3" t="s">
        <v>336</v>
      </c>
      <c r="G260" s="8" t="s">
        <v>55</v>
      </c>
      <c r="H260" s="8">
        <v>1</v>
      </c>
      <c r="I260" s="8" t="s">
        <v>1187</v>
      </c>
      <c r="J260" s="3" t="s">
        <v>1192</v>
      </c>
      <c r="K260" s="8" t="s">
        <v>475</v>
      </c>
      <c r="L260" s="13">
        <v>0</v>
      </c>
      <c r="M260" s="8"/>
      <c r="N260" s="8"/>
    </row>
    <row r="261" spans="1:14" ht="51" customHeight="1">
      <c r="A261" s="8" t="s">
        <v>1193</v>
      </c>
      <c r="B261" s="8" t="s">
        <v>332</v>
      </c>
      <c r="C261" s="8" t="s">
        <v>333</v>
      </c>
      <c r="D261" s="8" t="s">
        <v>334</v>
      </c>
      <c r="E261" s="8" t="s">
        <v>1194</v>
      </c>
      <c r="F261" s="3" t="s">
        <v>336</v>
      </c>
      <c r="G261" s="8" t="s">
        <v>55</v>
      </c>
      <c r="H261" s="8">
        <v>2</v>
      </c>
      <c r="I261" s="8" t="s">
        <v>1190</v>
      </c>
      <c r="J261" s="3" t="s">
        <v>338</v>
      </c>
      <c r="K261" s="8" t="s">
        <v>475</v>
      </c>
      <c r="L261" s="13">
        <v>0</v>
      </c>
      <c r="M261" s="8"/>
      <c r="N261" s="8"/>
    </row>
    <row r="262" spans="1:14" ht="51" customHeight="1">
      <c r="A262" s="8" t="s">
        <v>1195</v>
      </c>
      <c r="B262" s="8" t="s">
        <v>332</v>
      </c>
      <c r="C262" s="8" t="s">
        <v>333</v>
      </c>
      <c r="D262" s="8" t="s">
        <v>334</v>
      </c>
      <c r="E262" s="8" t="s">
        <v>1196</v>
      </c>
      <c r="F262" s="3" t="s">
        <v>336</v>
      </c>
      <c r="G262" s="8" t="s">
        <v>55</v>
      </c>
      <c r="H262" s="8">
        <v>1</v>
      </c>
      <c r="I262" s="8" t="s">
        <v>1193</v>
      </c>
      <c r="J262" s="3" t="s">
        <v>1197</v>
      </c>
      <c r="K262" s="8" t="s">
        <v>475</v>
      </c>
      <c r="L262" s="13">
        <v>0</v>
      </c>
      <c r="M262" s="8"/>
      <c r="N262" s="8"/>
    </row>
    <row r="263" spans="1:14" ht="51" customHeight="1">
      <c r="A263" s="8" t="s">
        <v>1198</v>
      </c>
      <c r="B263" s="8" t="s">
        <v>332</v>
      </c>
      <c r="C263" s="8" t="s">
        <v>333</v>
      </c>
      <c r="D263" s="8" t="s">
        <v>334</v>
      </c>
      <c r="E263" s="8" t="s">
        <v>1199</v>
      </c>
      <c r="F263" s="3" t="s">
        <v>336</v>
      </c>
      <c r="G263" s="8" t="s">
        <v>55</v>
      </c>
      <c r="H263" s="8">
        <v>0.5</v>
      </c>
      <c r="I263" s="8" t="s">
        <v>1195</v>
      </c>
      <c r="J263" s="3" t="s">
        <v>1200</v>
      </c>
      <c r="K263" s="8" t="s">
        <v>475</v>
      </c>
      <c r="L263" s="13">
        <v>0</v>
      </c>
      <c r="M263" s="8"/>
      <c r="N263" s="8"/>
    </row>
    <row r="264" spans="1:14" ht="51" customHeight="1">
      <c r="A264" s="8" t="s">
        <v>1201</v>
      </c>
      <c r="B264" s="8" t="s">
        <v>339</v>
      </c>
      <c r="C264" s="8" t="s">
        <v>333</v>
      </c>
      <c r="D264" s="8" t="s">
        <v>340</v>
      </c>
      <c r="E264" s="8" t="s">
        <v>1202</v>
      </c>
      <c r="F264" s="3" t="s">
        <v>342</v>
      </c>
      <c r="G264" s="8" t="s">
        <v>55</v>
      </c>
      <c r="H264" s="8">
        <v>1</v>
      </c>
      <c r="I264" s="8" t="s">
        <v>1198</v>
      </c>
      <c r="J264" s="3" t="s">
        <v>1203</v>
      </c>
      <c r="K264" s="8" t="s">
        <v>475</v>
      </c>
      <c r="L264" s="13">
        <v>0</v>
      </c>
      <c r="M264" s="8"/>
      <c r="N264" s="8"/>
    </row>
    <row r="265" spans="1:14" ht="51" customHeight="1">
      <c r="A265" s="8" t="s">
        <v>1204</v>
      </c>
      <c r="B265" s="8" t="s">
        <v>339</v>
      </c>
      <c r="C265" s="8" t="s">
        <v>333</v>
      </c>
      <c r="D265" s="8" t="s">
        <v>340</v>
      </c>
      <c r="E265" s="8" t="s">
        <v>1205</v>
      </c>
      <c r="F265" s="3" t="s">
        <v>342</v>
      </c>
      <c r="G265" s="8" t="s">
        <v>55</v>
      </c>
      <c r="H265" s="8">
        <v>0.5</v>
      </c>
      <c r="I265" s="8" t="s">
        <v>1201</v>
      </c>
      <c r="J265" s="3" t="s">
        <v>1206</v>
      </c>
      <c r="K265" s="8" t="s">
        <v>475</v>
      </c>
      <c r="L265" s="13">
        <v>0</v>
      </c>
      <c r="M265" s="8"/>
      <c r="N265" s="8"/>
    </row>
    <row r="266" spans="1:14" ht="51" customHeight="1">
      <c r="A266" s="8" t="s">
        <v>1207</v>
      </c>
      <c r="B266" s="8" t="s">
        <v>339</v>
      </c>
      <c r="C266" s="8" t="s">
        <v>333</v>
      </c>
      <c r="D266" s="8" t="s">
        <v>340</v>
      </c>
      <c r="E266" s="8" t="s">
        <v>1208</v>
      </c>
      <c r="F266" s="3" t="s">
        <v>342</v>
      </c>
      <c r="G266" s="8" t="s">
        <v>55</v>
      </c>
      <c r="H266" s="8">
        <v>2</v>
      </c>
      <c r="I266" s="8" t="s">
        <v>1204</v>
      </c>
      <c r="J266" s="3" t="s">
        <v>344</v>
      </c>
      <c r="K266" s="8" t="s">
        <v>475</v>
      </c>
      <c r="L266" s="13">
        <v>0</v>
      </c>
      <c r="M266" s="8"/>
      <c r="N266" s="8"/>
    </row>
    <row r="267" spans="1:14" ht="51" customHeight="1">
      <c r="A267" s="8" t="s">
        <v>1209</v>
      </c>
      <c r="B267" s="8" t="s">
        <v>339</v>
      </c>
      <c r="C267" s="8" t="s">
        <v>333</v>
      </c>
      <c r="D267" s="8" t="s">
        <v>340</v>
      </c>
      <c r="E267" s="8" t="s">
        <v>1210</v>
      </c>
      <c r="F267" s="3" t="s">
        <v>342</v>
      </c>
      <c r="G267" s="8" t="s">
        <v>55</v>
      </c>
      <c r="H267" s="8">
        <v>1</v>
      </c>
      <c r="I267" s="8" t="s">
        <v>1207</v>
      </c>
      <c r="J267" s="3" t="s">
        <v>1211</v>
      </c>
      <c r="K267" s="8" t="s">
        <v>475</v>
      </c>
      <c r="L267" s="13">
        <v>0</v>
      </c>
      <c r="M267" s="8"/>
      <c r="N267" s="8"/>
    </row>
    <row r="268" spans="1:14" ht="51" customHeight="1">
      <c r="A268" s="8" t="s">
        <v>1212</v>
      </c>
      <c r="B268" s="8" t="s">
        <v>339</v>
      </c>
      <c r="C268" s="8" t="s">
        <v>333</v>
      </c>
      <c r="D268" s="8" t="s">
        <v>340</v>
      </c>
      <c r="E268" s="8" t="s">
        <v>1213</v>
      </c>
      <c r="F268" s="3" t="s">
        <v>342</v>
      </c>
      <c r="G268" s="8" t="s">
        <v>55</v>
      </c>
      <c r="H268" s="8">
        <v>0.5</v>
      </c>
      <c r="I268" s="8" t="s">
        <v>1209</v>
      </c>
      <c r="J268" s="3" t="s">
        <v>1214</v>
      </c>
      <c r="K268" s="8" t="s">
        <v>475</v>
      </c>
      <c r="L268" s="13">
        <v>0</v>
      </c>
      <c r="M268" s="8"/>
      <c r="N268" s="8"/>
    </row>
    <row r="269" spans="1:14" ht="51" customHeight="1">
      <c r="A269" s="8" t="s">
        <v>1215</v>
      </c>
      <c r="B269" s="8" t="s">
        <v>345</v>
      </c>
      <c r="C269" s="8" t="s">
        <v>333</v>
      </c>
      <c r="D269" s="8" t="s">
        <v>340</v>
      </c>
      <c r="E269" s="8" t="s">
        <v>1216</v>
      </c>
      <c r="F269" s="3" t="s">
        <v>347</v>
      </c>
      <c r="G269" s="8" t="s">
        <v>55</v>
      </c>
      <c r="H269" s="8">
        <v>1</v>
      </c>
      <c r="I269" s="8" t="s">
        <v>1212</v>
      </c>
      <c r="J269" s="3" t="s">
        <v>1217</v>
      </c>
      <c r="K269" s="8" t="s">
        <v>475</v>
      </c>
      <c r="L269" s="13">
        <v>0</v>
      </c>
      <c r="M269" s="8"/>
      <c r="N269" s="8"/>
    </row>
    <row r="270" spans="1:14" ht="51" customHeight="1">
      <c r="A270" s="8" t="s">
        <v>1218</v>
      </c>
      <c r="B270" s="8" t="s">
        <v>345</v>
      </c>
      <c r="C270" s="8" t="s">
        <v>333</v>
      </c>
      <c r="D270" s="8" t="s">
        <v>340</v>
      </c>
      <c r="E270" s="8" t="s">
        <v>1219</v>
      </c>
      <c r="F270" s="3" t="s">
        <v>347</v>
      </c>
      <c r="G270" s="8" t="s">
        <v>55</v>
      </c>
      <c r="H270" s="8">
        <v>0.5</v>
      </c>
      <c r="I270" s="8" t="s">
        <v>1215</v>
      </c>
      <c r="J270" s="3" t="s">
        <v>1220</v>
      </c>
      <c r="K270" s="8" t="s">
        <v>475</v>
      </c>
      <c r="L270" s="13">
        <v>0</v>
      </c>
      <c r="M270" s="8"/>
      <c r="N270" s="8"/>
    </row>
    <row r="271" spans="1:14" ht="51" customHeight="1">
      <c r="A271" s="8" t="s">
        <v>1221</v>
      </c>
      <c r="B271" s="8" t="s">
        <v>345</v>
      </c>
      <c r="C271" s="8" t="s">
        <v>333</v>
      </c>
      <c r="D271" s="8" t="s">
        <v>340</v>
      </c>
      <c r="E271" s="8" t="s">
        <v>1222</v>
      </c>
      <c r="F271" s="3" t="s">
        <v>347</v>
      </c>
      <c r="G271" s="8" t="s">
        <v>55</v>
      </c>
      <c r="H271" s="8">
        <v>1.5</v>
      </c>
      <c r="I271" s="8" t="s">
        <v>1218</v>
      </c>
      <c r="J271" s="3" t="s">
        <v>349</v>
      </c>
      <c r="K271" s="8" t="s">
        <v>475</v>
      </c>
      <c r="L271" s="13">
        <v>0</v>
      </c>
      <c r="M271" s="8"/>
      <c r="N271" s="8"/>
    </row>
    <row r="272" spans="1:14" ht="51" customHeight="1">
      <c r="A272" s="8" t="s">
        <v>1223</v>
      </c>
      <c r="B272" s="8" t="s">
        <v>345</v>
      </c>
      <c r="C272" s="8" t="s">
        <v>333</v>
      </c>
      <c r="D272" s="8" t="s">
        <v>340</v>
      </c>
      <c r="E272" s="8" t="s">
        <v>1224</v>
      </c>
      <c r="F272" s="3" t="s">
        <v>347</v>
      </c>
      <c r="G272" s="8" t="s">
        <v>55</v>
      </c>
      <c r="H272" s="8">
        <v>1</v>
      </c>
      <c r="I272" s="8" t="s">
        <v>1221</v>
      </c>
      <c r="J272" s="3" t="s">
        <v>1225</v>
      </c>
      <c r="K272" s="8" t="s">
        <v>475</v>
      </c>
      <c r="L272" s="13">
        <v>0</v>
      </c>
      <c r="M272" s="8"/>
      <c r="N272" s="8"/>
    </row>
    <row r="273" spans="1:14" ht="51" customHeight="1">
      <c r="A273" s="8" t="s">
        <v>1226</v>
      </c>
      <c r="B273" s="8" t="s">
        <v>345</v>
      </c>
      <c r="C273" s="8" t="s">
        <v>333</v>
      </c>
      <c r="D273" s="8" t="s">
        <v>340</v>
      </c>
      <c r="E273" s="8" t="s">
        <v>1227</v>
      </c>
      <c r="F273" s="3" t="s">
        <v>347</v>
      </c>
      <c r="G273" s="8" t="s">
        <v>55</v>
      </c>
      <c r="H273" s="8">
        <v>0.5</v>
      </c>
      <c r="I273" s="8" t="s">
        <v>1223</v>
      </c>
      <c r="J273" s="3" t="s">
        <v>1228</v>
      </c>
      <c r="K273" s="8" t="s">
        <v>475</v>
      </c>
      <c r="L273" s="13">
        <v>0</v>
      </c>
      <c r="M273" s="8"/>
      <c r="N273" s="8"/>
    </row>
    <row r="274" spans="1:14" ht="51" customHeight="1">
      <c r="A274" s="8" t="s">
        <v>1229</v>
      </c>
      <c r="B274" s="8" t="s">
        <v>350</v>
      </c>
      <c r="C274" s="8" t="s">
        <v>333</v>
      </c>
      <c r="D274" s="8" t="s">
        <v>351</v>
      </c>
      <c r="E274" s="8" t="s">
        <v>1230</v>
      </c>
      <c r="F274" s="3" t="s">
        <v>353</v>
      </c>
      <c r="G274" s="8" t="s">
        <v>89</v>
      </c>
      <c r="H274" s="8">
        <v>0.5</v>
      </c>
      <c r="I274" s="8" t="s">
        <v>1226</v>
      </c>
      <c r="J274" s="3" t="s">
        <v>1231</v>
      </c>
      <c r="K274" s="8" t="s">
        <v>475</v>
      </c>
      <c r="L274" s="13">
        <v>0</v>
      </c>
      <c r="M274" s="8"/>
      <c r="N274" s="8"/>
    </row>
    <row r="275" spans="1:14" ht="51" customHeight="1">
      <c r="A275" s="8" t="s">
        <v>1232</v>
      </c>
      <c r="B275" s="8" t="s">
        <v>350</v>
      </c>
      <c r="C275" s="8" t="s">
        <v>333</v>
      </c>
      <c r="D275" s="8" t="s">
        <v>351</v>
      </c>
      <c r="E275" s="8" t="s">
        <v>1233</v>
      </c>
      <c r="F275" s="3" t="s">
        <v>353</v>
      </c>
      <c r="G275" s="8" t="s">
        <v>89</v>
      </c>
      <c r="H275" s="8">
        <v>0.5</v>
      </c>
      <c r="I275" s="8" t="s">
        <v>1229</v>
      </c>
      <c r="J275" s="3" t="s">
        <v>1234</v>
      </c>
      <c r="K275" s="8" t="s">
        <v>475</v>
      </c>
      <c r="L275" s="13">
        <v>0</v>
      </c>
      <c r="M275" s="8"/>
      <c r="N275" s="8"/>
    </row>
    <row r="276" spans="1:14" ht="51" customHeight="1">
      <c r="A276" s="8" t="s">
        <v>1235</v>
      </c>
      <c r="B276" s="8" t="s">
        <v>350</v>
      </c>
      <c r="C276" s="8" t="s">
        <v>333</v>
      </c>
      <c r="D276" s="8" t="s">
        <v>351</v>
      </c>
      <c r="E276" s="8" t="s">
        <v>1236</v>
      </c>
      <c r="F276" s="3" t="s">
        <v>353</v>
      </c>
      <c r="G276" s="8" t="s">
        <v>89</v>
      </c>
      <c r="H276" s="8">
        <v>2</v>
      </c>
      <c r="I276" s="8" t="s">
        <v>1232</v>
      </c>
      <c r="J276" s="3" t="s">
        <v>355</v>
      </c>
      <c r="K276" s="8" t="s">
        <v>475</v>
      </c>
      <c r="L276" s="13">
        <v>0</v>
      </c>
      <c r="M276" s="8"/>
      <c r="N276" s="8"/>
    </row>
    <row r="277" spans="1:14" ht="51" customHeight="1">
      <c r="A277" s="8" t="s">
        <v>1237</v>
      </c>
      <c r="B277" s="8" t="s">
        <v>350</v>
      </c>
      <c r="C277" s="8" t="s">
        <v>333</v>
      </c>
      <c r="D277" s="8" t="s">
        <v>351</v>
      </c>
      <c r="E277" s="8" t="s">
        <v>1238</v>
      </c>
      <c r="F277" s="3" t="s">
        <v>353</v>
      </c>
      <c r="G277" s="8" t="s">
        <v>89</v>
      </c>
      <c r="H277" s="8">
        <v>1</v>
      </c>
      <c r="I277" s="8" t="s">
        <v>1235</v>
      </c>
      <c r="J277" s="3" t="s">
        <v>1239</v>
      </c>
      <c r="K277" s="8" t="s">
        <v>475</v>
      </c>
      <c r="L277" s="13">
        <v>0</v>
      </c>
      <c r="M277" s="8"/>
      <c r="N277" s="8"/>
    </row>
    <row r="278" spans="1:14" ht="51" customHeight="1">
      <c r="A278" s="8" t="s">
        <v>1240</v>
      </c>
      <c r="B278" s="8" t="s">
        <v>350</v>
      </c>
      <c r="C278" s="8" t="s">
        <v>333</v>
      </c>
      <c r="D278" s="8" t="s">
        <v>351</v>
      </c>
      <c r="E278" s="8" t="s">
        <v>1241</v>
      </c>
      <c r="F278" s="3" t="s">
        <v>353</v>
      </c>
      <c r="G278" s="8" t="s">
        <v>89</v>
      </c>
      <c r="H278" s="8">
        <v>0.5</v>
      </c>
      <c r="I278" s="8" t="s">
        <v>1237</v>
      </c>
      <c r="J278" s="3" t="s">
        <v>1242</v>
      </c>
      <c r="K278" s="8" t="s">
        <v>475</v>
      </c>
      <c r="L278" s="13">
        <v>0</v>
      </c>
      <c r="M278" s="8"/>
      <c r="N278" s="8"/>
    </row>
    <row r="279" spans="1:14" ht="51" customHeight="1">
      <c r="A279" s="8" t="s">
        <v>1243</v>
      </c>
      <c r="B279" s="8" t="s">
        <v>356</v>
      </c>
      <c r="C279" s="8" t="s">
        <v>333</v>
      </c>
      <c r="D279" s="8" t="s">
        <v>357</v>
      </c>
      <c r="E279" s="8" t="s">
        <v>1244</v>
      </c>
      <c r="F279" s="3" t="s">
        <v>359</v>
      </c>
      <c r="G279" s="8" t="s">
        <v>55</v>
      </c>
      <c r="H279" s="8">
        <v>1</v>
      </c>
      <c r="I279" s="8" t="s">
        <v>1240</v>
      </c>
      <c r="J279" s="3" t="s">
        <v>1245</v>
      </c>
      <c r="K279" s="8" t="s">
        <v>475</v>
      </c>
      <c r="L279" s="13">
        <v>0</v>
      </c>
      <c r="M279" s="8"/>
      <c r="N279" s="8"/>
    </row>
    <row r="280" spans="1:14" ht="51" customHeight="1">
      <c r="A280" s="8" t="s">
        <v>1246</v>
      </c>
      <c r="B280" s="8" t="s">
        <v>356</v>
      </c>
      <c r="C280" s="8" t="s">
        <v>333</v>
      </c>
      <c r="D280" s="8" t="s">
        <v>357</v>
      </c>
      <c r="E280" s="8" t="s">
        <v>1247</v>
      </c>
      <c r="F280" s="3" t="s">
        <v>359</v>
      </c>
      <c r="G280" s="8" t="s">
        <v>55</v>
      </c>
      <c r="H280" s="8">
        <v>1</v>
      </c>
      <c r="I280" s="8" t="s">
        <v>1243</v>
      </c>
      <c r="J280" s="3" t="s">
        <v>1248</v>
      </c>
      <c r="K280" s="8" t="s">
        <v>475</v>
      </c>
      <c r="L280" s="13">
        <v>0</v>
      </c>
      <c r="M280" s="8"/>
      <c r="N280" s="8"/>
    </row>
    <row r="281" spans="1:14" ht="51" customHeight="1">
      <c r="A281" s="8" t="s">
        <v>1249</v>
      </c>
      <c r="B281" s="8" t="s">
        <v>356</v>
      </c>
      <c r="C281" s="8" t="s">
        <v>333</v>
      </c>
      <c r="D281" s="8" t="s">
        <v>357</v>
      </c>
      <c r="E281" s="8" t="s">
        <v>1250</v>
      </c>
      <c r="F281" s="3" t="s">
        <v>359</v>
      </c>
      <c r="G281" s="8" t="s">
        <v>55</v>
      </c>
      <c r="H281" s="8">
        <v>1.5</v>
      </c>
      <c r="I281" s="8" t="s">
        <v>1246</v>
      </c>
      <c r="J281" s="3" t="s">
        <v>361</v>
      </c>
      <c r="K281" s="8" t="s">
        <v>475</v>
      </c>
      <c r="L281" s="13">
        <v>0</v>
      </c>
      <c r="M281" s="8"/>
      <c r="N281" s="8"/>
    </row>
    <row r="282" spans="1:14" ht="51" customHeight="1">
      <c r="A282" s="8" t="s">
        <v>1251</v>
      </c>
      <c r="B282" s="8" t="s">
        <v>356</v>
      </c>
      <c r="C282" s="8" t="s">
        <v>333</v>
      </c>
      <c r="D282" s="8" t="s">
        <v>357</v>
      </c>
      <c r="E282" s="8" t="s">
        <v>1252</v>
      </c>
      <c r="F282" s="3" t="s">
        <v>359</v>
      </c>
      <c r="G282" s="8" t="s">
        <v>55</v>
      </c>
      <c r="H282" s="8">
        <v>1</v>
      </c>
      <c r="I282" s="8" t="s">
        <v>1249</v>
      </c>
      <c r="J282" s="3" t="s">
        <v>1253</v>
      </c>
      <c r="K282" s="8" t="s">
        <v>475</v>
      </c>
      <c r="L282" s="13">
        <v>0</v>
      </c>
      <c r="M282" s="8"/>
      <c r="N282" s="8"/>
    </row>
    <row r="283" spans="1:14" ht="51" customHeight="1">
      <c r="A283" s="8" t="s">
        <v>1254</v>
      </c>
      <c r="B283" s="8" t="s">
        <v>356</v>
      </c>
      <c r="C283" s="8" t="s">
        <v>333</v>
      </c>
      <c r="D283" s="8" t="s">
        <v>357</v>
      </c>
      <c r="E283" s="8" t="s">
        <v>1255</v>
      </c>
      <c r="F283" s="3" t="s">
        <v>359</v>
      </c>
      <c r="G283" s="8" t="s">
        <v>55</v>
      </c>
      <c r="H283" s="8">
        <v>0.5</v>
      </c>
      <c r="I283" s="8" t="s">
        <v>1251</v>
      </c>
      <c r="J283" s="3" t="s">
        <v>1256</v>
      </c>
      <c r="K283" s="8" t="s">
        <v>475</v>
      </c>
      <c r="L283" s="13">
        <v>0</v>
      </c>
      <c r="M283" s="8"/>
      <c r="N283" s="8"/>
    </row>
    <row r="284" spans="1:14" ht="51" customHeight="1">
      <c r="A284" s="8" t="s">
        <v>1257</v>
      </c>
      <c r="B284" s="8" t="s">
        <v>362</v>
      </c>
      <c r="C284" s="8" t="s">
        <v>333</v>
      </c>
      <c r="D284" s="8" t="s">
        <v>363</v>
      </c>
      <c r="E284" s="8" t="s">
        <v>1258</v>
      </c>
      <c r="F284" s="3" t="s">
        <v>365</v>
      </c>
      <c r="G284" s="8" t="s">
        <v>89</v>
      </c>
      <c r="H284" s="8">
        <v>1</v>
      </c>
      <c r="I284" s="8" t="s">
        <v>1254</v>
      </c>
      <c r="J284" s="3" t="s">
        <v>1259</v>
      </c>
      <c r="K284" s="8" t="s">
        <v>475</v>
      </c>
      <c r="L284" s="13">
        <v>0</v>
      </c>
      <c r="M284" s="8"/>
      <c r="N284" s="8"/>
    </row>
    <row r="285" spans="1:14" ht="51" customHeight="1">
      <c r="A285" s="8" t="s">
        <v>1260</v>
      </c>
      <c r="B285" s="8" t="s">
        <v>362</v>
      </c>
      <c r="C285" s="8" t="s">
        <v>333</v>
      </c>
      <c r="D285" s="8" t="s">
        <v>363</v>
      </c>
      <c r="E285" s="8" t="s">
        <v>1261</v>
      </c>
      <c r="F285" s="3" t="s">
        <v>365</v>
      </c>
      <c r="G285" s="8" t="s">
        <v>89</v>
      </c>
      <c r="H285" s="8">
        <v>1</v>
      </c>
      <c r="I285" s="8" t="s">
        <v>1257</v>
      </c>
      <c r="J285" s="3" t="s">
        <v>1262</v>
      </c>
      <c r="K285" s="8" t="s">
        <v>475</v>
      </c>
      <c r="L285" s="13">
        <v>0</v>
      </c>
      <c r="M285" s="8"/>
      <c r="N285" s="8"/>
    </row>
    <row r="286" spans="1:14" ht="51" customHeight="1">
      <c r="A286" s="8" t="s">
        <v>1263</v>
      </c>
      <c r="B286" s="8" t="s">
        <v>362</v>
      </c>
      <c r="C286" s="8" t="s">
        <v>333</v>
      </c>
      <c r="D286" s="8" t="s">
        <v>363</v>
      </c>
      <c r="E286" s="8" t="s">
        <v>1264</v>
      </c>
      <c r="F286" s="3" t="s">
        <v>365</v>
      </c>
      <c r="G286" s="8" t="s">
        <v>89</v>
      </c>
      <c r="H286" s="8">
        <v>2</v>
      </c>
      <c r="I286" s="8" t="s">
        <v>1260</v>
      </c>
      <c r="J286" s="3" t="s">
        <v>367</v>
      </c>
      <c r="K286" s="8" t="s">
        <v>475</v>
      </c>
      <c r="L286" s="13">
        <v>0</v>
      </c>
      <c r="M286" s="8"/>
      <c r="N286" s="8"/>
    </row>
    <row r="287" spans="1:14" ht="51" customHeight="1">
      <c r="A287" s="8" t="s">
        <v>1265</v>
      </c>
      <c r="B287" s="8" t="s">
        <v>362</v>
      </c>
      <c r="C287" s="8" t="s">
        <v>333</v>
      </c>
      <c r="D287" s="8" t="s">
        <v>363</v>
      </c>
      <c r="E287" s="8" t="s">
        <v>1266</v>
      </c>
      <c r="F287" s="3" t="s">
        <v>365</v>
      </c>
      <c r="G287" s="8" t="s">
        <v>89</v>
      </c>
      <c r="H287" s="8">
        <v>1</v>
      </c>
      <c r="I287" s="8" t="s">
        <v>1263</v>
      </c>
      <c r="J287" s="3" t="s">
        <v>1267</v>
      </c>
      <c r="K287" s="8" t="s">
        <v>475</v>
      </c>
      <c r="L287" s="13">
        <v>0</v>
      </c>
      <c r="M287" s="8"/>
      <c r="N287" s="8"/>
    </row>
    <row r="288" spans="1:14" ht="51" customHeight="1">
      <c r="A288" s="8" t="s">
        <v>1268</v>
      </c>
      <c r="B288" s="8" t="s">
        <v>362</v>
      </c>
      <c r="C288" s="8" t="s">
        <v>333</v>
      </c>
      <c r="D288" s="8" t="s">
        <v>363</v>
      </c>
      <c r="E288" s="8" t="s">
        <v>1269</v>
      </c>
      <c r="F288" s="3" t="s">
        <v>365</v>
      </c>
      <c r="G288" s="8" t="s">
        <v>89</v>
      </c>
      <c r="H288" s="8">
        <v>0.5</v>
      </c>
      <c r="I288" s="8" t="s">
        <v>1265</v>
      </c>
      <c r="J288" s="3" t="s">
        <v>1270</v>
      </c>
      <c r="K288" s="8" t="s">
        <v>475</v>
      </c>
      <c r="L288" s="13">
        <v>0</v>
      </c>
      <c r="M288" s="8"/>
      <c r="N288" s="8"/>
    </row>
    <row r="289" spans="1:14" ht="51" customHeight="1">
      <c r="A289" s="8" t="s">
        <v>1271</v>
      </c>
      <c r="B289" s="8" t="s">
        <v>368</v>
      </c>
      <c r="C289" s="8" t="s">
        <v>333</v>
      </c>
      <c r="D289" s="8" t="s">
        <v>369</v>
      </c>
      <c r="E289" s="8" t="s">
        <v>1272</v>
      </c>
      <c r="F289" s="3" t="s">
        <v>371</v>
      </c>
      <c r="G289" s="8" t="s">
        <v>89</v>
      </c>
      <c r="H289" s="8">
        <v>1</v>
      </c>
      <c r="I289" s="8" t="s">
        <v>1268</v>
      </c>
      <c r="J289" s="3" t="s">
        <v>1273</v>
      </c>
      <c r="K289" s="8" t="s">
        <v>475</v>
      </c>
      <c r="L289" s="13">
        <v>0</v>
      </c>
      <c r="M289" s="8"/>
      <c r="N289" s="8"/>
    </row>
    <row r="290" spans="1:14" ht="51" customHeight="1">
      <c r="A290" s="8" t="s">
        <v>1274</v>
      </c>
      <c r="B290" s="8" t="s">
        <v>368</v>
      </c>
      <c r="C290" s="8" t="s">
        <v>333</v>
      </c>
      <c r="D290" s="8" t="s">
        <v>369</v>
      </c>
      <c r="E290" s="8" t="s">
        <v>1275</v>
      </c>
      <c r="F290" s="3" t="s">
        <v>371</v>
      </c>
      <c r="G290" s="8" t="s">
        <v>89</v>
      </c>
      <c r="H290" s="8">
        <v>1</v>
      </c>
      <c r="I290" s="8" t="s">
        <v>1271</v>
      </c>
      <c r="J290" s="3" t="s">
        <v>1276</v>
      </c>
      <c r="K290" s="8" t="s">
        <v>475</v>
      </c>
      <c r="L290" s="13">
        <v>0</v>
      </c>
      <c r="M290" s="8"/>
      <c r="N290" s="8"/>
    </row>
    <row r="291" spans="1:14" ht="51" customHeight="1">
      <c r="A291" s="8" t="s">
        <v>1277</v>
      </c>
      <c r="B291" s="8" t="s">
        <v>368</v>
      </c>
      <c r="C291" s="8" t="s">
        <v>333</v>
      </c>
      <c r="D291" s="8" t="s">
        <v>369</v>
      </c>
      <c r="E291" s="8" t="s">
        <v>1278</v>
      </c>
      <c r="F291" s="3" t="s">
        <v>371</v>
      </c>
      <c r="G291" s="8" t="s">
        <v>89</v>
      </c>
      <c r="H291" s="8">
        <v>1.5</v>
      </c>
      <c r="I291" s="8" t="s">
        <v>1274</v>
      </c>
      <c r="J291" s="3" t="s">
        <v>373</v>
      </c>
      <c r="K291" s="8" t="s">
        <v>475</v>
      </c>
      <c r="L291" s="13">
        <v>0</v>
      </c>
      <c r="M291" s="8"/>
      <c r="N291" s="8"/>
    </row>
    <row r="292" spans="1:14" ht="51" customHeight="1">
      <c r="A292" s="8" t="s">
        <v>1279</v>
      </c>
      <c r="B292" s="8" t="s">
        <v>368</v>
      </c>
      <c r="C292" s="8" t="s">
        <v>333</v>
      </c>
      <c r="D292" s="8" t="s">
        <v>369</v>
      </c>
      <c r="E292" s="8" t="s">
        <v>1280</v>
      </c>
      <c r="F292" s="3" t="s">
        <v>371</v>
      </c>
      <c r="G292" s="8" t="s">
        <v>89</v>
      </c>
      <c r="H292" s="8">
        <v>1</v>
      </c>
      <c r="I292" s="8" t="s">
        <v>1277</v>
      </c>
      <c r="J292" s="3" t="s">
        <v>1281</v>
      </c>
      <c r="K292" s="8" t="s">
        <v>475</v>
      </c>
      <c r="L292" s="13">
        <v>0</v>
      </c>
      <c r="M292" s="8"/>
      <c r="N292" s="8"/>
    </row>
    <row r="293" spans="1:14" ht="51" customHeight="1">
      <c r="A293" s="8" t="s">
        <v>1282</v>
      </c>
      <c r="B293" s="8" t="s">
        <v>368</v>
      </c>
      <c r="C293" s="8" t="s">
        <v>333</v>
      </c>
      <c r="D293" s="8" t="s">
        <v>369</v>
      </c>
      <c r="E293" s="8" t="s">
        <v>1283</v>
      </c>
      <c r="F293" s="3" t="s">
        <v>371</v>
      </c>
      <c r="G293" s="8" t="s">
        <v>89</v>
      </c>
      <c r="H293" s="8">
        <v>0.5</v>
      </c>
      <c r="I293" s="8" t="s">
        <v>1279</v>
      </c>
      <c r="J293" s="3" t="s">
        <v>1284</v>
      </c>
      <c r="K293" s="8" t="s">
        <v>475</v>
      </c>
      <c r="L293" s="13">
        <v>0</v>
      </c>
      <c r="M293" s="8"/>
      <c r="N293" s="8"/>
    </row>
    <row r="294" spans="1:14" ht="51" customHeight="1">
      <c r="A294" s="8" t="s">
        <v>1285</v>
      </c>
      <c r="B294" s="8" t="s">
        <v>374</v>
      </c>
      <c r="C294" s="8" t="s">
        <v>333</v>
      </c>
      <c r="D294" s="8" t="s">
        <v>375</v>
      </c>
      <c r="E294" s="8" t="s">
        <v>1286</v>
      </c>
      <c r="F294" s="3" t="s">
        <v>377</v>
      </c>
      <c r="G294" s="8" t="s">
        <v>89</v>
      </c>
      <c r="H294" s="8">
        <v>0.5</v>
      </c>
      <c r="I294" s="8" t="s">
        <v>1282</v>
      </c>
      <c r="J294" s="3" t="s">
        <v>1287</v>
      </c>
      <c r="K294" s="8" t="s">
        <v>475</v>
      </c>
      <c r="L294" s="13">
        <v>0</v>
      </c>
      <c r="M294" s="8"/>
      <c r="N294" s="8"/>
    </row>
    <row r="295" spans="1:14" ht="51" customHeight="1">
      <c r="A295" s="8" t="s">
        <v>1288</v>
      </c>
      <c r="B295" s="8" t="s">
        <v>374</v>
      </c>
      <c r="C295" s="8" t="s">
        <v>333</v>
      </c>
      <c r="D295" s="8" t="s">
        <v>375</v>
      </c>
      <c r="E295" s="8" t="s">
        <v>1289</v>
      </c>
      <c r="F295" s="3" t="s">
        <v>377</v>
      </c>
      <c r="G295" s="8" t="s">
        <v>89</v>
      </c>
      <c r="H295" s="8">
        <v>0.5</v>
      </c>
      <c r="I295" s="8" t="s">
        <v>1285</v>
      </c>
      <c r="J295" s="3" t="s">
        <v>1290</v>
      </c>
      <c r="K295" s="8" t="s">
        <v>475</v>
      </c>
      <c r="L295" s="13">
        <v>0</v>
      </c>
      <c r="M295" s="8"/>
      <c r="N295" s="8"/>
    </row>
    <row r="296" spans="1:14" ht="51" customHeight="1">
      <c r="A296" s="8" t="s">
        <v>1291</v>
      </c>
      <c r="B296" s="8" t="s">
        <v>374</v>
      </c>
      <c r="C296" s="8" t="s">
        <v>333</v>
      </c>
      <c r="D296" s="8" t="s">
        <v>375</v>
      </c>
      <c r="E296" s="8" t="s">
        <v>1292</v>
      </c>
      <c r="F296" s="3" t="s">
        <v>377</v>
      </c>
      <c r="G296" s="8" t="s">
        <v>89</v>
      </c>
      <c r="H296" s="8">
        <v>2</v>
      </c>
      <c r="I296" s="8" t="s">
        <v>1288</v>
      </c>
      <c r="J296" s="3" t="s">
        <v>379</v>
      </c>
      <c r="K296" s="8" t="s">
        <v>475</v>
      </c>
      <c r="L296" s="13">
        <v>0</v>
      </c>
      <c r="M296" s="8"/>
      <c r="N296" s="8"/>
    </row>
    <row r="297" spans="1:14" ht="51" customHeight="1">
      <c r="A297" s="8" t="s">
        <v>1293</v>
      </c>
      <c r="B297" s="8" t="s">
        <v>374</v>
      </c>
      <c r="C297" s="8" t="s">
        <v>333</v>
      </c>
      <c r="D297" s="8" t="s">
        <v>375</v>
      </c>
      <c r="E297" s="8" t="s">
        <v>1294</v>
      </c>
      <c r="F297" s="3" t="s">
        <v>377</v>
      </c>
      <c r="G297" s="8" t="s">
        <v>89</v>
      </c>
      <c r="H297" s="8">
        <v>1</v>
      </c>
      <c r="I297" s="8" t="s">
        <v>1291</v>
      </c>
      <c r="J297" s="3" t="s">
        <v>1295</v>
      </c>
      <c r="K297" s="8" t="s">
        <v>475</v>
      </c>
      <c r="L297" s="13">
        <v>0</v>
      </c>
      <c r="M297" s="8"/>
      <c r="N297" s="8"/>
    </row>
    <row r="298" spans="1:14" ht="51" customHeight="1">
      <c r="A298" s="8" t="s">
        <v>1296</v>
      </c>
      <c r="B298" s="8" t="s">
        <v>374</v>
      </c>
      <c r="C298" s="8" t="s">
        <v>333</v>
      </c>
      <c r="D298" s="8" t="s">
        <v>375</v>
      </c>
      <c r="E298" s="8" t="s">
        <v>1297</v>
      </c>
      <c r="F298" s="3" t="s">
        <v>377</v>
      </c>
      <c r="G298" s="8" t="s">
        <v>89</v>
      </c>
      <c r="H298" s="8">
        <v>0.5</v>
      </c>
      <c r="I298" s="8" t="s">
        <v>1293</v>
      </c>
      <c r="J298" s="3" t="s">
        <v>1298</v>
      </c>
      <c r="K298" s="8" t="s">
        <v>475</v>
      </c>
      <c r="L298" s="13">
        <v>0</v>
      </c>
      <c r="M298" s="8"/>
      <c r="N298" s="8"/>
    </row>
    <row r="299" spans="1:14" ht="51" customHeight="1">
      <c r="A299" s="8" t="s">
        <v>1299</v>
      </c>
      <c r="B299" s="8" t="s">
        <v>380</v>
      </c>
      <c r="C299" s="8" t="s">
        <v>333</v>
      </c>
      <c r="D299" s="8" t="s">
        <v>381</v>
      </c>
      <c r="E299" s="8" t="s">
        <v>1300</v>
      </c>
      <c r="F299" s="3" t="s">
        <v>383</v>
      </c>
      <c r="G299" s="8" t="s">
        <v>55</v>
      </c>
      <c r="H299" s="8">
        <v>1</v>
      </c>
      <c r="I299" s="8" t="s">
        <v>1296</v>
      </c>
      <c r="J299" s="3" t="s">
        <v>1301</v>
      </c>
      <c r="K299" s="8" t="s">
        <v>475</v>
      </c>
      <c r="L299" s="13">
        <v>0</v>
      </c>
      <c r="M299" s="8"/>
      <c r="N299" s="8"/>
    </row>
    <row r="300" spans="1:14" ht="51" customHeight="1">
      <c r="A300" s="8" t="s">
        <v>1302</v>
      </c>
      <c r="B300" s="8" t="s">
        <v>380</v>
      </c>
      <c r="C300" s="8" t="s">
        <v>333</v>
      </c>
      <c r="D300" s="8" t="s">
        <v>381</v>
      </c>
      <c r="E300" s="8" t="s">
        <v>1303</v>
      </c>
      <c r="F300" s="3" t="s">
        <v>383</v>
      </c>
      <c r="G300" s="8" t="s">
        <v>55</v>
      </c>
      <c r="H300" s="8">
        <v>0.5</v>
      </c>
      <c r="I300" s="8" t="s">
        <v>1299</v>
      </c>
      <c r="J300" s="3" t="s">
        <v>1304</v>
      </c>
      <c r="K300" s="8" t="s">
        <v>475</v>
      </c>
      <c r="L300" s="13">
        <v>0</v>
      </c>
      <c r="M300" s="8"/>
      <c r="N300" s="8"/>
    </row>
    <row r="301" spans="1:14" ht="51" customHeight="1">
      <c r="A301" s="8" t="s">
        <v>1305</v>
      </c>
      <c r="B301" s="8" t="s">
        <v>380</v>
      </c>
      <c r="C301" s="8" t="s">
        <v>333</v>
      </c>
      <c r="D301" s="8" t="s">
        <v>381</v>
      </c>
      <c r="E301" s="8" t="s">
        <v>1306</v>
      </c>
      <c r="F301" s="3" t="s">
        <v>383</v>
      </c>
      <c r="G301" s="8" t="s">
        <v>55</v>
      </c>
      <c r="H301" s="8">
        <v>1.5</v>
      </c>
      <c r="I301" s="8" t="s">
        <v>1302</v>
      </c>
      <c r="J301" s="3" t="s">
        <v>385</v>
      </c>
      <c r="K301" s="8" t="s">
        <v>475</v>
      </c>
      <c r="L301" s="13">
        <v>0</v>
      </c>
      <c r="M301" s="8"/>
      <c r="N301" s="8"/>
    </row>
    <row r="302" spans="1:14" ht="51" customHeight="1">
      <c r="A302" s="8" t="s">
        <v>1307</v>
      </c>
      <c r="B302" s="8" t="s">
        <v>380</v>
      </c>
      <c r="C302" s="8" t="s">
        <v>333</v>
      </c>
      <c r="D302" s="8" t="s">
        <v>381</v>
      </c>
      <c r="E302" s="8" t="s">
        <v>1308</v>
      </c>
      <c r="F302" s="3" t="s">
        <v>383</v>
      </c>
      <c r="G302" s="8" t="s">
        <v>55</v>
      </c>
      <c r="H302" s="8">
        <v>1</v>
      </c>
      <c r="I302" s="8" t="s">
        <v>1305</v>
      </c>
      <c r="J302" s="3" t="s">
        <v>1309</v>
      </c>
      <c r="K302" s="8" t="s">
        <v>475</v>
      </c>
      <c r="L302" s="13">
        <v>0</v>
      </c>
      <c r="M302" s="8"/>
      <c r="N302" s="8"/>
    </row>
    <row r="303" spans="1:14" ht="51" customHeight="1">
      <c r="A303" s="8" t="s">
        <v>1310</v>
      </c>
      <c r="B303" s="8" t="s">
        <v>380</v>
      </c>
      <c r="C303" s="8" t="s">
        <v>333</v>
      </c>
      <c r="D303" s="8" t="s">
        <v>381</v>
      </c>
      <c r="E303" s="8" t="s">
        <v>1311</v>
      </c>
      <c r="F303" s="3" t="s">
        <v>383</v>
      </c>
      <c r="G303" s="8" t="s">
        <v>55</v>
      </c>
      <c r="H303" s="8">
        <v>0.5</v>
      </c>
      <c r="I303" s="8" t="s">
        <v>1307</v>
      </c>
      <c r="J303" s="3" t="s">
        <v>1312</v>
      </c>
      <c r="K303" s="8" t="s">
        <v>475</v>
      </c>
      <c r="L303" s="13">
        <v>0</v>
      </c>
      <c r="M303" s="8"/>
      <c r="N303" s="8"/>
    </row>
    <row r="304" spans="1:14" ht="51" customHeight="1">
      <c r="A304" s="8" t="s">
        <v>1313</v>
      </c>
      <c r="B304" s="8" t="s">
        <v>386</v>
      </c>
      <c r="C304" s="8" t="s">
        <v>387</v>
      </c>
      <c r="D304" s="8" t="s">
        <v>388</v>
      </c>
      <c r="E304" s="8" t="s">
        <v>1314</v>
      </c>
      <c r="F304" s="3" t="s">
        <v>390</v>
      </c>
      <c r="G304" s="8" t="s">
        <v>55</v>
      </c>
      <c r="H304" s="8">
        <v>0.5</v>
      </c>
      <c r="I304" s="8" t="s">
        <v>1310</v>
      </c>
      <c r="J304" s="3" t="s">
        <v>1315</v>
      </c>
      <c r="K304" s="8" t="s">
        <v>475</v>
      </c>
      <c r="L304" s="13">
        <v>0</v>
      </c>
      <c r="M304" s="8"/>
      <c r="N304" s="8"/>
    </row>
    <row r="305" spans="1:14" ht="51" customHeight="1">
      <c r="A305" s="8" t="s">
        <v>1316</v>
      </c>
      <c r="B305" s="8" t="s">
        <v>386</v>
      </c>
      <c r="C305" s="8" t="s">
        <v>387</v>
      </c>
      <c r="D305" s="8" t="s">
        <v>388</v>
      </c>
      <c r="E305" s="8" t="s">
        <v>1317</v>
      </c>
      <c r="F305" s="3" t="s">
        <v>390</v>
      </c>
      <c r="G305" s="8" t="s">
        <v>55</v>
      </c>
      <c r="H305" s="8">
        <v>1</v>
      </c>
      <c r="I305" s="8" t="s">
        <v>1313</v>
      </c>
      <c r="J305" s="3" t="s">
        <v>1318</v>
      </c>
      <c r="K305" s="8" t="s">
        <v>475</v>
      </c>
      <c r="L305" s="13">
        <v>0</v>
      </c>
      <c r="M305" s="8"/>
      <c r="N305" s="8"/>
    </row>
    <row r="306" spans="1:14" ht="51" customHeight="1">
      <c r="A306" s="8" t="s">
        <v>1319</v>
      </c>
      <c r="B306" s="8" t="s">
        <v>386</v>
      </c>
      <c r="C306" s="8" t="s">
        <v>387</v>
      </c>
      <c r="D306" s="8" t="s">
        <v>388</v>
      </c>
      <c r="E306" s="8" t="s">
        <v>1320</v>
      </c>
      <c r="F306" s="3" t="s">
        <v>390</v>
      </c>
      <c r="G306" s="8" t="s">
        <v>55</v>
      </c>
      <c r="H306" s="8">
        <v>2</v>
      </c>
      <c r="I306" s="8" t="s">
        <v>1316</v>
      </c>
      <c r="J306" s="3" t="s">
        <v>392</v>
      </c>
      <c r="K306" s="8" t="s">
        <v>475</v>
      </c>
      <c r="L306" s="13">
        <v>0</v>
      </c>
      <c r="M306" s="8"/>
      <c r="N306" s="8"/>
    </row>
    <row r="307" spans="1:14" ht="51" customHeight="1">
      <c r="A307" s="8" t="s">
        <v>1321</v>
      </c>
      <c r="B307" s="8" t="s">
        <v>386</v>
      </c>
      <c r="C307" s="8" t="s">
        <v>387</v>
      </c>
      <c r="D307" s="8" t="s">
        <v>388</v>
      </c>
      <c r="E307" s="8" t="s">
        <v>1322</v>
      </c>
      <c r="F307" s="3" t="s">
        <v>390</v>
      </c>
      <c r="G307" s="8" t="s">
        <v>55</v>
      </c>
      <c r="H307" s="8">
        <v>1</v>
      </c>
      <c r="I307" s="8" t="s">
        <v>1319</v>
      </c>
      <c r="J307" s="3" t="s">
        <v>1323</v>
      </c>
      <c r="K307" s="8" t="s">
        <v>475</v>
      </c>
      <c r="L307" s="13">
        <v>0</v>
      </c>
      <c r="M307" s="8"/>
      <c r="N307" s="8"/>
    </row>
    <row r="308" spans="1:14" ht="51" customHeight="1">
      <c r="A308" s="8" t="s">
        <v>1324</v>
      </c>
      <c r="B308" s="8" t="s">
        <v>386</v>
      </c>
      <c r="C308" s="8" t="s">
        <v>387</v>
      </c>
      <c r="D308" s="8" t="s">
        <v>388</v>
      </c>
      <c r="E308" s="8" t="s">
        <v>1325</v>
      </c>
      <c r="F308" s="3" t="s">
        <v>390</v>
      </c>
      <c r="G308" s="8" t="s">
        <v>55</v>
      </c>
      <c r="H308" s="8">
        <v>0.5</v>
      </c>
      <c r="I308" s="8" t="s">
        <v>1321</v>
      </c>
      <c r="J308" s="3" t="s">
        <v>1326</v>
      </c>
      <c r="K308" s="8" t="s">
        <v>475</v>
      </c>
      <c r="L308" s="13">
        <v>0</v>
      </c>
      <c r="M308" s="8"/>
      <c r="N308" s="8"/>
    </row>
    <row r="309" spans="1:14" ht="51" customHeight="1">
      <c r="A309" s="8" t="s">
        <v>1327</v>
      </c>
      <c r="B309" s="8" t="s">
        <v>393</v>
      </c>
      <c r="C309" s="8" t="s">
        <v>387</v>
      </c>
      <c r="D309" s="8" t="s">
        <v>394</v>
      </c>
      <c r="E309" s="8" t="s">
        <v>1328</v>
      </c>
      <c r="F309" s="3" t="s">
        <v>396</v>
      </c>
      <c r="G309" s="8" t="s">
        <v>55</v>
      </c>
      <c r="H309" s="8">
        <v>1</v>
      </c>
      <c r="I309" s="8" t="s">
        <v>1324</v>
      </c>
      <c r="J309" s="3" t="s">
        <v>1329</v>
      </c>
      <c r="K309" s="8" t="s">
        <v>475</v>
      </c>
      <c r="L309" s="13">
        <v>0</v>
      </c>
      <c r="M309" s="8"/>
      <c r="N309" s="8"/>
    </row>
    <row r="310" spans="1:14" ht="51" customHeight="1">
      <c r="A310" s="8" t="s">
        <v>1330</v>
      </c>
      <c r="B310" s="8" t="s">
        <v>393</v>
      </c>
      <c r="C310" s="8" t="s">
        <v>387</v>
      </c>
      <c r="D310" s="8" t="s">
        <v>394</v>
      </c>
      <c r="E310" s="8" t="s">
        <v>1331</v>
      </c>
      <c r="F310" s="3" t="s">
        <v>396</v>
      </c>
      <c r="G310" s="8" t="s">
        <v>55</v>
      </c>
      <c r="H310" s="8">
        <v>1</v>
      </c>
      <c r="I310" s="8" t="s">
        <v>1327</v>
      </c>
      <c r="J310" s="3" t="s">
        <v>1332</v>
      </c>
      <c r="K310" s="8" t="s">
        <v>475</v>
      </c>
      <c r="L310" s="13">
        <v>0</v>
      </c>
      <c r="M310" s="8"/>
      <c r="N310" s="8"/>
    </row>
    <row r="311" spans="1:14" ht="51" customHeight="1">
      <c r="A311" s="8" t="s">
        <v>1333</v>
      </c>
      <c r="B311" s="8" t="s">
        <v>393</v>
      </c>
      <c r="C311" s="8" t="s">
        <v>387</v>
      </c>
      <c r="D311" s="8" t="s">
        <v>394</v>
      </c>
      <c r="E311" s="8" t="s">
        <v>1334</v>
      </c>
      <c r="F311" s="3" t="s">
        <v>396</v>
      </c>
      <c r="G311" s="8" t="s">
        <v>55</v>
      </c>
      <c r="H311" s="8">
        <v>1</v>
      </c>
      <c r="I311" s="8" t="s">
        <v>1330</v>
      </c>
      <c r="J311" s="3" t="s">
        <v>398</v>
      </c>
      <c r="K311" s="8" t="s">
        <v>475</v>
      </c>
      <c r="L311" s="13">
        <v>0</v>
      </c>
      <c r="M311" s="8"/>
      <c r="N311" s="8"/>
    </row>
    <row r="312" spans="1:14" ht="51" customHeight="1">
      <c r="A312" s="8" t="s">
        <v>1335</v>
      </c>
      <c r="B312" s="8" t="s">
        <v>393</v>
      </c>
      <c r="C312" s="8" t="s">
        <v>387</v>
      </c>
      <c r="D312" s="8" t="s">
        <v>394</v>
      </c>
      <c r="E312" s="8" t="s">
        <v>1336</v>
      </c>
      <c r="F312" s="3" t="s">
        <v>396</v>
      </c>
      <c r="G312" s="8" t="s">
        <v>55</v>
      </c>
      <c r="H312" s="8">
        <v>1</v>
      </c>
      <c r="I312" s="8" t="s">
        <v>1333</v>
      </c>
      <c r="J312" s="3" t="s">
        <v>1337</v>
      </c>
      <c r="K312" s="8" t="s">
        <v>475</v>
      </c>
      <c r="L312" s="13">
        <v>0</v>
      </c>
      <c r="M312" s="8"/>
      <c r="N312" s="8"/>
    </row>
    <row r="313" spans="1:14" ht="51" customHeight="1">
      <c r="A313" s="8" t="s">
        <v>1338</v>
      </c>
      <c r="B313" s="8" t="s">
        <v>393</v>
      </c>
      <c r="C313" s="8" t="s">
        <v>387</v>
      </c>
      <c r="D313" s="8" t="s">
        <v>394</v>
      </c>
      <c r="E313" s="8" t="s">
        <v>1339</v>
      </c>
      <c r="F313" s="3" t="s">
        <v>396</v>
      </c>
      <c r="G313" s="8" t="s">
        <v>55</v>
      </c>
      <c r="H313" s="8">
        <v>0.5</v>
      </c>
      <c r="I313" s="8" t="s">
        <v>1335</v>
      </c>
      <c r="J313" s="3" t="s">
        <v>1340</v>
      </c>
      <c r="K313" s="8" t="s">
        <v>475</v>
      </c>
      <c r="L313" s="13">
        <v>0</v>
      </c>
      <c r="M313" s="8"/>
      <c r="N313" s="8"/>
    </row>
    <row r="314" spans="1:14" ht="51" customHeight="1">
      <c r="A314" s="8" t="s">
        <v>1341</v>
      </c>
      <c r="B314" s="8" t="s">
        <v>399</v>
      </c>
      <c r="C314" s="8" t="s">
        <v>387</v>
      </c>
      <c r="D314" s="8" t="s">
        <v>388</v>
      </c>
      <c r="E314" s="8" t="s">
        <v>1342</v>
      </c>
      <c r="F314" s="3" t="s">
        <v>401</v>
      </c>
      <c r="G314" s="8" t="s">
        <v>89</v>
      </c>
      <c r="H314" s="8">
        <v>0.5</v>
      </c>
      <c r="I314" s="8" t="s">
        <v>1338</v>
      </c>
      <c r="J314" s="3" t="s">
        <v>1343</v>
      </c>
      <c r="K314" s="8" t="s">
        <v>475</v>
      </c>
      <c r="L314" s="13">
        <v>0</v>
      </c>
      <c r="M314" s="8"/>
      <c r="N314" s="8"/>
    </row>
    <row r="315" spans="1:14" ht="51" customHeight="1">
      <c r="A315" s="8" t="s">
        <v>1344</v>
      </c>
      <c r="B315" s="8" t="s">
        <v>399</v>
      </c>
      <c r="C315" s="8" t="s">
        <v>387</v>
      </c>
      <c r="D315" s="8" t="s">
        <v>388</v>
      </c>
      <c r="E315" s="8" t="s">
        <v>1345</v>
      </c>
      <c r="F315" s="3" t="s">
        <v>401</v>
      </c>
      <c r="G315" s="8" t="s">
        <v>89</v>
      </c>
      <c r="H315" s="8">
        <v>1</v>
      </c>
      <c r="I315" s="8" t="s">
        <v>1341</v>
      </c>
      <c r="J315" s="3" t="s">
        <v>1346</v>
      </c>
      <c r="K315" s="8" t="s">
        <v>475</v>
      </c>
      <c r="L315" s="13">
        <v>0</v>
      </c>
      <c r="M315" s="8"/>
      <c r="N315" s="8"/>
    </row>
    <row r="316" spans="1:14" ht="51" customHeight="1">
      <c r="A316" s="8" t="s">
        <v>1347</v>
      </c>
      <c r="B316" s="8" t="s">
        <v>399</v>
      </c>
      <c r="C316" s="8" t="s">
        <v>387</v>
      </c>
      <c r="D316" s="8" t="s">
        <v>388</v>
      </c>
      <c r="E316" s="8" t="s">
        <v>1348</v>
      </c>
      <c r="F316" s="3" t="s">
        <v>401</v>
      </c>
      <c r="G316" s="8" t="s">
        <v>89</v>
      </c>
      <c r="H316" s="8">
        <v>1.5</v>
      </c>
      <c r="I316" s="8" t="s">
        <v>1344</v>
      </c>
      <c r="J316" s="3" t="s">
        <v>403</v>
      </c>
      <c r="K316" s="8" t="s">
        <v>475</v>
      </c>
      <c r="L316" s="13">
        <v>0</v>
      </c>
      <c r="M316" s="8"/>
      <c r="N316" s="8"/>
    </row>
    <row r="317" spans="1:14" ht="51" customHeight="1">
      <c r="A317" s="8" t="s">
        <v>1349</v>
      </c>
      <c r="B317" s="8" t="s">
        <v>399</v>
      </c>
      <c r="C317" s="8" t="s">
        <v>387</v>
      </c>
      <c r="D317" s="8" t="s">
        <v>388</v>
      </c>
      <c r="E317" s="8" t="s">
        <v>1350</v>
      </c>
      <c r="F317" s="3" t="s">
        <v>401</v>
      </c>
      <c r="G317" s="8" t="s">
        <v>89</v>
      </c>
      <c r="H317" s="8">
        <v>1</v>
      </c>
      <c r="I317" s="8" t="s">
        <v>1347</v>
      </c>
      <c r="J317" s="3" t="s">
        <v>1351</v>
      </c>
      <c r="K317" s="8" t="s">
        <v>475</v>
      </c>
      <c r="L317" s="13">
        <v>0</v>
      </c>
      <c r="M317" s="8"/>
      <c r="N317" s="8"/>
    </row>
    <row r="318" spans="1:14" ht="51" customHeight="1">
      <c r="A318" s="8" t="s">
        <v>1352</v>
      </c>
      <c r="B318" s="8" t="s">
        <v>399</v>
      </c>
      <c r="C318" s="8" t="s">
        <v>387</v>
      </c>
      <c r="D318" s="8" t="s">
        <v>388</v>
      </c>
      <c r="E318" s="8" t="s">
        <v>1353</v>
      </c>
      <c r="F318" s="3" t="s">
        <v>401</v>
      </c>
      <c r="G318" s="8" t="s">
        <v>89</v>
      </c>
      <c r="H318" s="8">
        <v>0.5</v>
      </c>
      <c r="I318" s="8" t="s">
        <v>1349</v>
      </c>
      <c r="J318" s="3" t="s">
        <v>1354</v>
      </c>
      <c r="K318" s="8" t="s">
        <v>475</v>
      </c>
      <c r="L318" s="13">
        <v>0</v>
      </c>
      <c r="M318" s="8"/>
      <c r="N318" s="8"/>
    </row>
    <row r="319" spans="1:14" ht="51" customHeight="1">
      <c r="A319" s="8" t="s">
        <v>1355</v>
      </c>
      <c r="B319" s="8" t="s">
        <v>404</v>
      </c>
      <c r="C319" s="8" t="s">
        <v>387</v>
      </c>
      <c r="D319" s="8" t="s">
        <v>93</v>
      </c>
      <c r="E319" s="8" t="s">
        <v>1356</v>
      </c>
      <c r="F319" s="3" t="s">
        <v>406</v>
      </c>
      <c r="G319" s="8" t="s">
        <v>55</v>
      </c>
      <c r="H319" s="8">
        <v>1</v>
      </c>
      <c r="I319" s="8" t="s">
        <v>1352</v>
      </c>
      <c r="J319" s="3" t="s">
        <v>1357</v>
      </c>
      <c r="K319" s="8" t="s">
        <v>475</v>
      </c>
      <c r="L319" s="13">
        <v>0</v>
      </c>
      <c r="M319" s="8"/>
      <c r="N319" s="8"/>
    </row>
    <row r="320" spans="1:14" ht="51" customHeight="1">
      <c r="A320" s="8" t="s">
        <v>1358</v>
      </c>
      <c r="B320" s="8" t="s">
        <v>404</v>
      </c>
      <c r="C320" s="8" t="s">
        <v>387</v>
      </c>
      <c r="D320" s="8" t="s">
        <v>93</v>
      </c>
      <c r="E320" s="8" t="s">
        <v>1359</v>
      </c>
      <c r="F320" s="3" t="s">
        <v>406</v>
      </c>
      <c r="G320" s="8" t="s">
        <v>55</v>
      </c>
      <c r="H320" s="8">
        <v>0.5</v>
      </c>
      <c r="I320" s="8" t="s">
        <v>1355</v>
      </c>
      <c r="J320" s="3" t="s">
        <v>1360</v>
      </c>
      <c r="K320" s="8" t="s">
        <v>475</v>
      </c>
      <c r="L320" s="13">
        <v>0</v>
      </c>
      <c r="M320" s="8"/>
      <c r="N320" s="8"/>
    </row>
    <row r="321" spans="1:14" ht="51" customHeight="1">
      <c r="A321" s="8" t="s">
        <v>1361</v>
      </c>
      <c r="B321" s="8" t="s">
        <v>404</v>
      </c>
      <c r="C321" s="8" t="s">
        <v>387</v>
      </c>
      <c r="D321" s="8" t="s">
        <v>93</v>
      </c>
      <c r="E321" s="8" t="s">
        <v>1362</v>
      </c>
      <c r="F321" s="3" t="s">
        <v>406</v>
      </c>
      <c r="G321" s="8" t="s">
        <v>55</v>
      </c>
      <c r="H321" s="8">
        <v>1</v>
      </c>
      <c r="I321" s="8" t="s">
        <v>1358</v>
      </c>
      <c r="J321" s="3" t="s">
        <v>408</v>
      </c>
      <c r="K321" s="8" t="s">
        <v>475</v>
      </c>
      <c r="L321" s="13">
        <v>0</v>
      </c>
      <c r="M321" s="8"/>
      <c r="N321" s="8"/>
    </row>
    <row r="322" spans="1:14" ht="51" customHeight="1">
      <c r="A322" s="8" t="s">
        <v>1363</v>
      </c>
      <c r="B322" s="8" t="s">
        <v>404</v>
      </c>
      <c r="C322" s="8" t="s">
        <v>387</v>
      </c>
      <c r="D322" s="8" t="s">
        <v>93</v>
      </c>
      <c r="E322" s="8" t="s">
        <v>1364</v>
      </c>
      <c r="F322" s="3" t="s">
        <v>406</v>
      </c>
      <c r="G322" s="8" t="s">
        <v>55</v>
      </c>
      <c r="H322" s="8">
        <v>1</v>
      </c>
      <c r="I322" s="8" t="s">
        <v>1361</v>
      </c>
      <c r="J322" s="3" t="s">
        <v>1365</v>
      </c>
      <c r="K322" s="8" t="s">
        <v>475</v>
      </c>
      <c r="L322" s="13">
        <v>0</v>
      </c>
      <c r="M322" s="8"/>
      <c r="N322" s="8"/>
    </row>
    <row r="323" spans="1:14" ht="51" customHeight="1">
      <c r="A323" s="8" t="s">
        <v>1366</v>
      </c>
      <c r="B323" s="8" t="s">
        <v>404</v>
      </c>
      <c r="C323" s="8" t="s">
        <v>387</v>
      </c>
      <c r="D323" s="8" t="s">
        <v>93</v>
      </c>
      <c r="E323" s="8" t="s">
        <v>1367</v>
      </c>
      <c r="F323" s="3" t="s">
        <v>406</v>
      </c>
      <c r="G323" s="8" t="s">
        <v>55</v>
      </c>
      <c r="H323" s="8">
        <v>0.5</v>
      </c>
      <c r="I323" s="8" t="s">
        <v>1363</v>
      </c>
      <c r="J323" s="3" t="s">
        <v>1368</v>
      </c>
      <c r="K323" s="8" t="s">
        <v>475</v>
      </c>
      <c r="L323" s="13">
        <v>0</v>
      </c>
      <c r="M323" s="8"/>
      <c r="N323" s="8"/>
    </row>
    <row r="324" spans="1:14" ht="51" customHeight="1">
      <c r="A324" s="8" t="s">
        <v>1369</v>
      </c>
      <c r="B324" s="8" t="s">
        <v>409</v>
      </c>
      <c r="C324" s="8" t="s">
        <v>387</v>
      </c>
      <c r="D324" s="8" t="s">
        <v>193</v>
      </c>
      <c r="E324" s="8" t="s">
        <v>1370</v>
      </c>
      <c r="F324" s="3" t="s">
        <v>411</v>
      </c>
      <c r="G324" s="8" t="s">
        <v>55</v>
      </c>
      <c r="H324" s="8">
        <v>1</v>
      </c>
      <c r="I324" s="8" t="s">
        <v>1366</v>
      </c>
      <c r="J324" s="3" t="s">
        <v>1371</v>
      </c>
      <c r="K324" s="8" t="s">
        <v>475</v>
      </c>
      <c r="L324" s="13">
        <v>0</v>
      </c>
      <c r="M324" s="8"/>
      <c r="N324" s="8"/>
    </row>
    <row r="325" spans="1:14" ht="51" customHeight="1">
      <c r="A325" s="8" t="s">
        <v>1372</v>
      </c>
      <c r="B325" s="8" t="s">
        <v>409</v>
      </c>
      <c r="C325" s="8" t="s">
        <v>387</v>
      </c>
      <c r="D325" s="8" t="s">
        <v>193</v>
      </c>
      <c r="E325" s="8" t="s">
        <v>1373</v>
      </c>
      <c r="F325" s="3" t="s">
        <v>411</v>
      </c>
      <c r="G325" s="8" t="s">
        <v>55</v>
      </c>
      <c r="H325" s="8">
        <v>1</v>
      </c>
      <c r="I325" s="8" t="s">
        <v>1369</v>
      </c>
      <c r="J325" s="3" t="s">
        <v>1374</v>
      </c>
      <c r="K325" s="8" t="s">
        <v>475</v>
      </c>
      <c r="L325" s="13">
        <v>0</v>
      </c>
      <c r="M325" s="8"/>
      <c r="N325" s="8"/>
    </row>
    <row r="326" spans="1:14" ht="51" customHeight="1">
      <c r="A326" s="8" t="s">
        <v>1375</v>
      </c>
      <c r="B326" s="8" t="s">
        <v>409</v>
      </c>
      <c r="C326" s="8" t="s">
        <v>387</v>
      </c>
      <c r="D326" s="8" t="s">
        <v>193</v>
      </c>
      <c r="E326" s="8" t="s">
        <v>1376</v>
      </c>
      <c r="F326" s="3" t="s">
        <v>411</v>
      </c>
      <c r="G326" s="8" t="s">
        <v>55</v>
      </c>
      <c r="H326" s="8">
        <v>1.5</v>
      </c>
      <c r="I326" s="8" t="s">
        <v>1372</v>
      </c>
      <c r="J326" s="3" t="s">
        <v>413</v>
      </c>
      <c r="K326" s="8" t="s">
        <v>475</v>
      </c>
      <c r="L326" s="13">
        <v>0</v>
      </c>
      <c r="M326" s="8"/>
      <c r="N326" s="8"/>
    </row>
    <row r="327" spans="1:14" ht="51" customHeight="1">
      <c r="A327" s="8" t="s">
        <v>1377</v>
      </c>
      <c r="B327" s="8" t="s">
        <v>409</v>
      </c>
      <c r="C327" s="8" t="s">
        <v>387</v>
      </c>
      <c r="D327" s="8" t="s">
        <v>193</v>
      </c>
      <c r="E327" s="8" t="s">
        <v>1378</v>
      </c>
      <c r="F327" s="3" t="s">
        <v>411</v>
      </c>
      <c r="G327" s="8" t="s">
        <v>55</v>
      </c>
      <c r="H327" s="8">
        <v>1</v>
      </c>
      <c r="I327" s="8" t="s">
        <v>1375</v>
      </c>
      <c r="J327" s="3" t="s">
        <v>1379</v>
      </c>
      <c r="K327" s="8" t="s">
        <v>475</v>
      </c>
      <c r="L327" s="13">
        <v>0</v>
      </c>
      <c r="M327" s="8"/>
      <c r="N327" s="8"/>
    </row>
    <row r="328" spans="1:14" ht="51" customHeight="1">
      <c r="A328" s="8" t="s">
        <v>1380</v>
      </c>
      <c r="B328" s="8" t="s">
        <v>409</v>
      </c>
      <c r="C328" s="8" t="s">
        <v>387</v>
      </c>
      <c r="D328" s="8" t="s">
        <v>193</v>
      </c>
      <c r="E328" s="8" t="s">
        <v>1381</v>
      </c>
      <c r="F328" s="3" t="s">
        <v>411</v>
      </c>
      <c r="G328" s="8" t="s">
        <v>55</v>
      </c>
      <c r="H328" s="8">
        <v>0.5</v>
      </c>
      <c r="I328" s="8" t="s">
        <v>1377</v>
      </c>
      <c r="J328" s="3" t="s">
        <v>1382</v>
      </c>
      <c r="K328" s="8" t="s">
        <v>475</v>
      </c>
      <c r="L328" s="13">
        <v>0</v>
      </c>
      <c r="M328" s="8"/>
      <c r="N328" s="8"/>
    </row>
    <row r="329" spans="1:14" ht="51" customHeight="1">
      <c r="A329" s="8" t="s">
        <v>1383</v>
      </c>
      <c r="B329" s="8" t="s">
        <v>414</v>
      </c>
      <c r="C329" s="8" t="s">
        <v>387</v>
      </c>
      <c r="D329" s="8" t="s">
        <v>327</v>
      </c>
      <c r="E329" s="8" t="s">
        <v>1384</v>
      </c>
      <c r="F329" s="3" t="s">
        <v>416</v>
      </c>
      <c r="G329" s="8" t="s">
        <v>89</v>
      </c>
      <c r="H329" s="8">
        <v>1</v>
      </c>
      <c r="I329" s="8" t="s">
        <v>1380</v>
      </c>
      <c r="J329" s="3" t="s">
        <v>1385</v>
      </c>
      <c r="K329" s="8" t="s">
        <v>475</v>
      </c>
      <c r="L329" s="13">
        <v>0</v>
      </c>
      <c r="M329" s="8"/>
      <c r="N329" s="8"/>
    </row>
    <row r="330" spans="1:14" ht="51" customHeight="1">
      <c r="A330" s="8" t="s">
        <v>1386</v>
      </c>
      <c r="B330" s="8" t="s">
        <v>414</v>
      </c>
      <c r="C330" s="8" t="s">
        <v>387</v>
      </c>
      <c r="D330" s="8" t="s">
        <v>327</v>
      </c>
      <c r="E330" s="8" t="s">
        <v>1387</v>
      </c>
      <c r="F330" s="3" t="s">
        <v>416</v>
      </c>
      <c r="G330" s="8" t="s">
        <v>89</v>
      </c>
      <c r="H330" s="8">
        <v>1</v>
      </c>
      <c r="I330" s="8" t="s">
        <v>1383</v>
      </c>
      <c r="J330" s="3" t="s">
        <v>1388</v>
      </c>
      <c r="K330" s="8" t="s">
        <v>475</v>
      </c>
      <c r="L330" s="13">
        <v>0</v>
      </c>
      <c r="M330" s="8"/>
      <c r="N330" s="8"/>
    </row>
    <row r="331" spans="1:14" ht="51" customHeight="1">
      <c r="A331" s="8" t="s">
        <v>1389</v>
      </c>
      <c r="B331" s="8" t="s">
        <v>414</v>
      </c>
      <c r="C331" s="8" t="s">
        <v>387</v>
      </c>
      <c r="D331" s="8" t="s">
        <v>327</v>
      </c>
      <c r="E331" s="8" t="s">
        <v>1390</v>
      </c>
      <c r="F331" s="3" t="s">
        <v>416</v>
      </c>
      <c r="G331" s="8" t="s">
        <v>89</v>
      </c>
      <c r="H331" s="8">
        <v>2</v>
      </c>
      <c r="I331" s="8" t="s">
        <v>1386</v>
      </c>
      <c r="J331" s="3" t="s">
        <v>418</v>
      </c>
      <c r="K331" s="8" t="s">
        <v>475</v>
      </c>
      <c r="L331" s="13">
        <v>0</v>
      </c>
      <c r="M331" s="8"/>
      <c r="N331" s="8"/>
    </row>
    <row r="332" spans="1:14" ht="51" customHeight="1">
      <c r="A332" s="8" t="s">
        <v>1391</v>
      </c>
      <c r="B332" s="8" t="s">
        <v>414</v>
      </c>
      <c r="C332" s="8" t="s">
        <v>387</v>
      </c>
      <c r="D332" s="8" t="s">
        <v>327</v>
      </c>
      <c r="E332" s="8" t="s">
        <v>1392</v>
      </c>
      <c r="F332" s="3" t="s">
        <v>416</v>
      </c>
      <c r="G332" s="8" t="s">
        <v>89</v>
      </c>
      <c r="H332" s="8">
        <v>1</v>
      </c>
      <c r="I332" s="8" t="s">
        <v>1389</v>
      </c>
      <c r="J332" s="3" t="s">
        <v>1393</v>
      </c>
      <c r="K332" s="8" t="s">
        <v>475</v>
      </c>
      <c r="L332" s="13">
        <v>0</v>
      </c>
      <c r="M332" s="8"/>
      <c r="N332" s="8"/>
    </row>
    <row r="333" spans="1:14" ht="51" customHeight="1">
      <c r="A333" s="8" t="s">
        <v>1394</v>
      </c>
      <c r="B333" s="8" t="s">
        <v>414</v>
      </c>
      <c r="C333" s="8" t="s">
        <v>387</v>
      </c>
      <c r="D333" s="8" t="s">
        <v>327</v>
      </c>
      <c r="E333" s="8" t="s">
        <v>1395</v>
      </c>
      <c r="F333" s="3" t="s">
        <v>416</v>
      </c>
      <c r="G333" s="8" t="s">
        <v>89</v>
      </c>
      <c r="H333" s="8">
        <v>0.5</v>
      </c>
      <c r="I333" s="8" t="s">
        <v>1391</v>
      </c>
      <c r="J333" s="3" t="s">
        <v>1396</v>
      </c>
      <c r="K333" s="8" t="s">
        <v>475</v>
      </c>
      <c r="L333" s="13">
        <v>0</v>
      </c>
      <c r="M333" s="8"/>
      <c r="N333" s="8"/>
    </row>
    <row r="334" spans="1:14" ht="51" customHeight="1">
      <c r="A334" s="8" t="s">
        <v>1397</v>
      </c>
      <c r="B334" s="8" t="s">
        <v>419</v>
      </c>
      <c r="C334" s="8" t="s">
        <v>420</v>
      </c>
      <c r="D334" s="8" t="s">
        <v>421</v>
      </c>
      <c r="E334" s="8" t="s">
        <v>1398</v>
      </c>
      <c r="F334" s="3" t="s">
        <v>423</v>
      </c>
      <c r="G334" s="8" t="s">
        <v>55</v>
      </c>
      <c r="H334" s="8">
        <v>1</v>
      </c>
      <c r="I334" s="8" t="s">
        <v>1394</v>
      </c>
      <c r="J334" s="3" t="s">
        <v>1399</v>
      </c>
      <c r="K334" s="8" t="s">
        <v>475</v>
      </c>
      <c r="L334" s="13">
        <v>0</v>
      </c>
      <c r="M334" s="8"/>
      <c r="N334" s="8"/>
    </row>
    <row r="335" spans="1:14" ht="51" customHeight="1">
      <c r="A335" s="8" t="s">
        <v>1400</v>
      </c>
      <c r="B335" s="8" t="s">
        <v>419</v>
      </c>
      <c r="C335" s="8" t="s">
        <v>420</v>
      </c>
      <c r="D335" s="8" t="s">
        <v>421</v>
      </c>
      <c r="E335" s="8" t="s">
        <v>1401</v>
      </c>
      <c r="F335" s="3" t="s">
        <v>423</v>
      </c>
      <c r="G335" s="8" t="s">
        <v>55</v>
      </c>
      <c r="H335" s="8">
        <v>0.5</v>
      </c>
      <c r="I335" s="8" t="s">
        <v>1397</v>
      </c>
      <c r="J335" s="3" t="s">
        <v>1402</v>
      </c>
      <c r="K335" s="8" t="s">
        <v>475</v>
      </c>
      <c r="L335" s="13">
        <v>0</v>
      </c>
      <c r="M335" s="8"/>
      <c r="N335" s="8"/>
    </row>
    <row r="336" spans="1:14" ht="51" customHeight="1">
      <c r="A336" s="8" t="s">
        <v>1403</v>
      </c>
      <c r="B336" s="8" t="s">
        <v>419</v>
      </c>
      <c r="C336" s="8" t="s">
        <v>420</v>
      </c>
      <c r="D336" s="8" t="s">
        <v>421</v>
      </c>
      <c r="E336" s="8" t="s">
        <v>1404</v>
      </c>
      <c r="F336" s="3" t="s">
        <v>423</v>
      </c>
      <c r="G336" s="8" t="s">
        <v>55</v>
      </c>
      <c r="H336" s="8">
        <v>1</v>
      </c>
      <c r="I336" s="8" t="s">
        <v>1400</v>
      </c>
      <c r="J336" s="3" t="s">
        <v>425</v>
      </c>
      <c r="K336" s="8" t="s">
        <v>475</v>
      </c>
      <c r="L336" s="13">
        <v>0</v>
      </c>
      <c r="M336" s="8"/>
      <c r="N336" s="8"/>
    </row>
    <row r="337" spans="1:14" ht="51" customHeight="1">
      <c r="A337" s="8" t="s">
        <v>1405</v>
      </c>
      <c r="B337" s="8" t="s">
        <v>419</v>
      </c>
      <c r="C337" s="8" t="s">
        <v>420</v>
      </c>
      <c r="D337" s="8" t="s">
        <v>421</v>
      </c>
      <c r="E337" s="8" t="s">
        <v>1406</v>
      </c>
      <c r="F337" s="3" t="s">
        <v>423</v>
      </c>
      <c r="G337" s="8" t="s">
        <v>55</v>
      </c>
      <c r="H337" s="8">
        <v>1</v>
      </c>
      <c r="I337" s="8" t="s">
        <v>1403</v>
      </c>
      <c r="J337" s="3" t="s">
        <v>1407</v>
      </c>
      <c r="K337" s="8" t="s">
        <v>475</v>
      </c>
      <c r="L337" s="13">
        <v>0</v>
      </c>
      <c r="M337" s="8"/>
      <c r="N337" s="8"/>
    </row>
    <row r="338" spans="1:14" ht="51" customHeight="1">
      <c r="A338" s="8" t="s">
        <v>1408</v>
      </c>
      <c r="B338" s="8" t="s">
        <v>419</v>
      </c>
      <c r="C338" s="8" t="s">
        <v>420</v>
      </c>
      <c r="D338" s="8" t="s">
        <v>421</v>
      </c>
      <c r="E338" s="8" t="s">
        <v>1409</v>
      </c>
      <c r="F338" s="3" t="s">
        <v>423</v>
      </c>
      <c r="G338" s="8" t="s">
        <v>55</v>
      </c>
      <c r="H338" s="8">
        <v>0.5</v>
      </c>
      <c r="I338" s="8" t="s">
        <v>1405</v>
      </c>
      <c r="J338" s="3" t="s">
        <v>1410</v>
      </c>
      <c r="K338" s="8" t="s">
        <v>475</v>
      </c>
      <c r="L338" s="13">
        <v>0</v>
      </c>
      <c r="M338" s="8"/>
      <c r="N338" s="8"/>
    </row>
    <row r="339" spans="1:14" ht="51" customHeight="1">
      <c r="A339" s="8" t="s">
        <v>1411</v>
      </c>
      <c r="B339" s="8" t="s">
        <v>426</v>
      </c>
      <c r="C339" s="8" t="s">
        <v>420</v>
      </c>
      <c r="D339" s="8" t="s">
        <v>421</v>
      </c>
      <c r="E339" s="8" t="s">
        <v>1412</v>
      </c>
      <c r="F339" s="3" t="s">
        <v>428</v>
      </c>
      <c r="G339" s="8" t="s">
        <v>55</v>
      </c>
      <c r="H339" s="8">
        <v>0.5</v>
      </c>
      <c r="I339" s="8" t="s">
        <v>1408</v>
      </c>
      <c r="J339" s="3" t="s">
        <v>1413</v>
      </c>
      <c r="K339" s="8" t="s">
        <v>475</v>
      </c>
      <c r="L339" s="13">
        <v>0</v>
      </c>
      <c r="M339" s="8"/>
      <c r="N339" s="8"/>
    </row>
    <row r="340" spans="1:14" ht="51" customHeight="1">
      <c r="A340" s="8" t="s">
        <v>1414</v>
      </c>
      <c r="B340" s="8" t="s">
        <v>426</v>
      </c>
      <c r="C340" s="8" t="s">
        <v>420</v>
      </c>
      <c r="D340" s="8" t="s">
        <v>421</v>
      </c>
      <c r="E340" s="8" t="s">
        <v>1415</v>
      </c>
      <c r="F340" s="3" t="s">
        <v>428</v>
      </c>
      <c r="G340" s="8" t="s">
        <v>55</v>
      </c>
      <c r="H340" s="8">
        <v>1</v>
      </c>
      <c r="I340" s="8" t="s">
        <v>1411</v>
      </c>
      <c r="J340" s="3" t="s">
        <v>1416</v>
      </c>
      <c r="K340" s="8" t="s">
        <v>475</v>
      </c>
      <c r="L340" s="13">
        <v>0</v>
      </c>
      <c r="M340" s="8"/>
      <c r="N340" s="8"/>
    </row>
    <row r="341" spans="1:14" ht="51" customHeight="1">
      <c r="A341" s="8" t="s">
        <v>1417</v>
      </c>
      <c r="B341" s="8" t="s">
        <v>426</v>
      </c>
      <c r="C341" s="8" t="s">
        <v>420</v>
      </c>
      <c r="D341" s="8" t="s">
        <v>421</v>
      </c>
      <c r="E341" s="8" t="s">
        <v>1418</v>
      </c>
      <c r="F341" s="3" t="s">
        <v>428</v>
      </c>
      <c r="G341" s="8" t="s">
        <v>55</v>
      </c>
      <c r="H341" s="8">
        <v>2</v>
      </c>
      <c r="I341" s="8" t="s">
        <v>1414</v>
      </c>
      <c r="J341" s="3" t="s">
        <v>430</v>
      </c>
      <c r="K341" s="8" t="s">
        <v>475</v>
      </c>
      <c r="L341" s="13">
        <v>0</v>
      </c>
      <c r="M341" s="8"/>
      <c r="N341" s="8"/>
    </row>
    <row r="342" spans="1:14" ht="51" customHeight="1">
      <c r="A342" s="8" t="s">
        <v>1419</v>
      </c>
      <c r="B342" s="8" t="s">
        <v>426</v>
      </c>
      <c r="C342" s="8" t="s">
        <v>420</v>
      </c>
      <c r="D342" s="8" t="s">
        <v>421</v>
      </c>
      <c r="E342" s="8" t="s">
        <v>1420</v>
      </c>
      <c r="F342" s="3" t="s">
        <v>428</v>
      </c>
      <c r="G342" s="8" t="s">
        <v>55</v>
      </c>
      <c r="H342" s="8">
        <v>1</v>
      </c>
      <c r="I342" s="8" t="s">
        <v>1417</v>
      </c>
      <c r="J342" s="3" t="s">
        <v>1421</v>
      </c>
      <c r="K342" s="8" t="s">
        <v>475</v>
      </c>
      <c r="L342" s="13">
        <v>0</v>
      </c>
      <c r="M342" s="8"/>
      <c r="N342" s="8"/>
    </row>
    <row r="343" spans="1:14" ht="51" customHeight="1">
      <c r="A343" s="8" t="s">
        <v>1422</v>
      </c>
      <c r="B343" s="8" t="s">
        <v>426</v>
      </c>
      <c r="C343" s="8" t="s">
        <v>420</v>
      </c>
      <c r="D343" s="8" t="s">
        <v>421</v>
      </c>
      <c r="E343" s="8" t="s">
        <v>1423</v>
      </c>
      <c r="F343" s="3" t="s">
        <v>428</v>
      </c>
      <c r="G343" s="8" t="s">
        <v>55</v>
      </c>
      <c r="H343" s="8">
        <v>0.5</v>
      </c>
      <c r="I343" s="8" t="s">
        <v>1419</v>
      </c>
      <c r="J343" s="3" t="s">
        <v>1424</v>
      </c>
      <c r="K343" s="8" t="s">
        <v>475</v>
      </c>
      <c r="L343" s="13">
        <v>0</v>
      </c>
      <c r="M343" s="8"/>
      <c r="N343" s="8"/>
    </row>
    <row r="344" spans="1:14" ht="51" customHeight="1">
      <c r="A344" s="8" t="s">
        <v>1425</v>
      </c>
      <c r="B344" s="8" t="s">
        <v>431</v>
      </c>
      <c r="C344" s="8" t="s">
        <v>420</v>
      </c>
      <c r="D344" s="8" t="s">
        <v>432</v>
      </c>
      <c r="E344" s="8" t="s">
        <v>1426</v>
      </c>
      <c r="F344" s="3" t="s">
        <v>434</v>
      </c>
      <c r="G344" s="8" t="s">
        <v>55</v>
      </c>
      <c r="H344" s="8">
        <v>1</v>
      </c>
      <c r="I344" s="8" t="s">
        <v>1422</v>
      </c>
      <c r="J344" s="3" t="s">
        <v>1427</v>
      </c>
      <c r="K344" s="8" t="s">
        <v>475</v>
      </c>
      <c r="L344" s="13">
        <v>0</v>
      </c>
      <c r="M344" s="8"/>
      <c r="N344" s="8"/>
    </row>
    <row r="345" spans="1:14" ht="51" customHeight="1">
      <c r="A345" s="8" t="s">
        <v>1428</v>
      </c>
      <c r="B345" s="8" t="s">
        <v>431</v>
      </c>
      <c r="C345" s="8" t="s">
        <v>420</v>
      </c>
      <c r="D345" s="8" t="s">
        <v>432</v>
      </c>
      <c r="E345" s="8" t="s">
        <v>1429</v>
      </c>
      <c r="F345" s="3" t="s">
        <v>434</v>
      </c>
      <c r="G345" s="8" t="s">
        <v>55</v>
      </c>
      <c r="H345" s="8">
        <v>1</v>
      </c>
      <c r="I345" s="8" t="s">
        <v>1425</v>
      </c>
      <c r="J345" s="3" t="s">
        <v>1430</v>
      </c>
      <c r="K345" s="8" t="s">
        <v>475</v>
      </c>
      <c r="L345" s="13">
        <v>0</v>
      </c>
      <c r="M345" s="8"/>
      <c r="N345" s="8"/>
    </row>
    <row r="346" spans="1:14" ht="51" customHeight="1">
      <c r="A346" s="8" t="s">
        <v>1431</v>
      </c>
      <c r="B346" s="8" t="s">
        <v>431</v>
      </c>
      <c r="C346" s="8" t="s">
        <v>420</v>
      </c>
      <c r="D346" s="8" t="s">
        <v>432</v>
      </c>
      <c r="E346" s="8" t="s">
        <v>1432</v>
      </c>
      <c r="F346" s="3" t="s">
        <v>434</v>
      </c>
      <c r="G346" s="8" t="s">
        <v>55</v>
      </c>
      <c r="H346" s="8">
        <v>1</v>
      </c>
      <c r="I346" s="8" t="s">
        <v>1428</v>
      </c>
      <c r="J346" s="3" t="s">
        <v>436</v>
      </c>
      <c r="K346" s="8" t="s">
        <v>475</v>
      </c>
      <c r="L346" s="13">
        <v>0</v>
      </c>
      <c r="M346" s="8"/>
      <c r="N346" s="8"/>
    </row>
    <row r="347" spans="1:14" ht="51" customHeight="1">
      <c r="A347" s="8" t="s">
        <v>1433</v>
      </c>
      <c r="B347" s="8" t="s">
        <v>431</v>
      </c>
      <c r="C347" s="8" t="s">
        <v>420</v>
      </c>
      <c r="D347" s="8" t="s">
        <v>432</v>
      </c>
      <c r="E347" s="8" t="s">
        <v>1434</v>
      </c>
      <c r="F347" s="3" t="s">
        <v>434</v>
      </c>
      <c r="G347" s="8" t="s">
        <v>55</v>
      </c>
      <c r="H347" s="8">
        <v>1</v>
      </c>
      <c r="I347" s="8" t="s">
        <v>1431</v>
      </c>
      <c r="J347" s="3" t="s">
        <v>1435</v>
      </c>
      <c r="K347" s="8" t="s">
        <v>475</v>
      </c>
      <c r="L347" s="13">
        <v>0</v>
      </c>
      <c r="M347" s="8"/>
      <c r="N347" s="8"/>
    </row>
    <row r="348" spans="1:14" ht="51" customHeight="1">
      <c r="A348" s="8" t="s">
        <v>1436</v>
      </c>
      <c r="B348" s="8" t="s">
        <v>431</v>
      </c>
      <c r="C348" s="8" t="s">
        <v>420</v>
      </c>
      <c r="D348" s="8" t="s">
        <v>432</v>
      </c>
      <c r="E348" s="8" t="s">
        <v>1437</v>
      </c>
      <c r="F348" s="3" t="s">
        <v>434</v>
      </c>
      <c r="G348" s="8" t="s">
        <v>55</v>
      </c>
      <c r="H348" s="8">
        <v>0.5</v>
      </c>
      <c r="I348" s="8" t="s">
        <v>1433</v>
      </c>
      <c r="J348" s="3" t="s">
        <v>1438</v>
      </c>
      <c r="K348" s="8" t="s">
        <v>475</v>
      </c>
      <c r="L348" s="13">
        <v>0</v>
      </c>
      <c r="M348" s="8"/>
      <c r="N348" s="8"/>
    </row>
    <row r="349" spans="1:14" ht="51" customHeight="1">
      <c r="A349" s="8" t="s">
        <v>1439</v>
      </c>
      <c r="B349" s="8" t="s">
        <v>437</v>
      </c>
      <c r="C349" s="8" t="s">
        <v>420</v>
      </c>
      <c r="D349" s="8" t="s">
        <v>438</v>
      </c>
      <c r="E349" s="8" t="s">
        <v>1440</v>
      </c>
      <c r="F349" s="3" t="s">
        <v>440</v>
      </c>
      <c r="G349" s="8" t="s">
        <v>55</v>
      </c>
      <c r="H349" s="8">
        <v>1</v>
      </c>
      <c r="I349" s="8" t="s">
        <v>1436</v>
      </c>
      <c r="J349" s="3" t="s">
        <v>1441</v>
      </c>
      <c r="K349" s="8" t="s">
        <v>475</v>
      </c>
      <c r="L349" s="13">
        <v>0</v>
      </c>
      <c r="M349" s="8"/>
      <c r="N349" s="8"/>
    </row>
    <row r="350" spans="1:14" ht="51" customHeight="1">
      <c r="A350" s="8" t="s">
        <v>1442</v>
      </c>
      <c r="B350" s="8" t="s">
        <v>437</v>
      </c>
      <c r="C350" s="8" t="s">
        <v>420</v>
      </c>
      <c r="D350" s="8" t="s">
        <v>438</v>
      </c>
      <c r="E350" s="8" t="s">
        <v>1443</v>
      </c>
      <c r="F350" s="3" t="s">
        <v>440</v>
      </c>
      <c r="G350" s="8" t="s">
        <v>55</v>
      </c>
      <c r="H350" s="8">
        <v>1</v>
      </c>
      <c r="I350" s="8" t="s">
        <v>1439</v>
      </c>
      <c r="J350" s="3" t="s">
        <v>1444</v>
      </c>
      <c r="K350" s="8" t="s">
        <v>475</v>
      </c>
      <c r="L350" s="13">
        <v>0</v>
      </c>
      <c r="M350" s="8"/>
      <c r="N350" s="8"/>
    </row>
    <row r="351" spans="1:14" ht="51" customHeight="1">
      <c r="A351" s="8" t="s">
        <v>1445</v>
      </c>
      <c r="B351" s="8" t="s">
        <v>437</v>
      </c>
      <c r="C351" s="8" t="s">
        <v>420</v>
      </c>
      <c r="D351" s="8" t="s">
        <v>438</v>
      </c>
      <c r="E351" s="8" t="s">
        <v>1446</v>
      </c>
      <c r="F351" s="3" t="s">
        <v>440</v>
      </c>
      <c r="G351" s="8" t="s">
        <v>55</v>
      </c>
      <c r="H351" s="8">
        <v>2</v>
      </c>
      <c r="I351" s="8" t="s">
        <v>1442</v>
      </c>
      <c r="J351" s="3" t="s">
        <v>442</v>
      </c>
      <c r="K351" s="8" t="s">
        <v>475</v>
      </c>
      <c r="L351" s="13">
        <v>0</v>
      </c>
      <c r="M351" s="8"/>
      <c r="N351" s="8"/>
    </row>
    <row r="352" spans="1:14" ht="51" customHeight="1">
      <c r="A352" s="8" t="s">
        <v>1447</v>
      </c>
      <c r="B352" s="8" t="s">
        <v>437</v>
      </c>
      <c r="C352" s="8" t="s">
        <v>420</v>
      </c>
      <c r="D352" s="8" t="s">
        <v>438</v>
      </c>
      <c r="E352" s="8" t="s">
        <v>1448</v>
      </c>
      <c r="F352" s="3" t="s">
        <v>440</v>
      </c>
      <c r="G352" s="8" t="s">
        <v>55</v>
      </c>
      <c r="H352" s="8">
        <v>1</v>
      </c>
      <c r="I352" s="8" t="s">
        <v>1445</v>
      </c>
      <c r="J352" s="3" t="s">
        <v>1449</v>
      </c>
      <c r="K352" s="8" t="s">
        <v>475</v>
      </c>
      <c r="L352" s="13">
        <v>0</v>
      </c>
      <c r="M352" s="8"/>
      <c r="N352" s="8"/>
    </row>
    <row r="353" spans="1:14" ht="51" customHeight="1">
      <c r="A353" s="8" t="s">
        <v>1450</v>
      </c>
      <c r="B353" s="8" t="s">
        <v>437</v>
      </c>
      <c r="C353" s="8" t="s">
        <v>420</v>
      </c>
      <c r="D353" s="8" t="s">
        <v>438</v>
      </c>
      <c r="E353" s="8" t="s">
        <v>1451</v>
      </c>
      <c r="F353" s="3" t="s">
        <v>440</v>
      </c>
      <c r="G353" s="8" t="s">
        <v>55</v>
      </c>
      <c r="H353" s="8">
        <v>0.5</v>
      </c>
      <c r="I353" s="8" t="s">
        <v>1447</v>
      </c>
      <c r="J353" s="3" t="s">
        <v>1452</v>
      </c>
      <c r="K353" s="8" t="s">
        <v>475</v>
      </c>
      <c r="L353" s="13">
        <v>0</v>
      </c>
      <c r="M353" s="8"/>
      <c r="N353" s="8"/>
    </row>
    <row r="354" spans="1:14" ht="51" customHeight="1">
      <c r="A354" s="8" t="s">
        <v>1453</v>
      </c>
      <c r="B354" s="8" t="s">
        <v>443</v>
      </c>
      <c r="C354" s="8" t="s">
        <v>420</v>
      </c>
      <c r="D354" s="8" t="s">
        <v>438</v>
      </c>
      <c r="E354" s="8" t="s">
        <v>1454</v>
      </c>
      <c r="F354" s="3" t="s">
        <v>445</v>
      </c>
      <c r="G354" s="8" t="s">
        <v>89</v>
      </c>
      <c r="H354" s="8">
        <v>1</v>
      </c>
      <c r="I354" s="8" t="s">
        <v>1450</v>
      </c>
      <c r="J354" s="3" t="s">
        <v>1455</v>
      </c>
      <c r="K354" s="8" t="s">
        <v>475</v>
      </c>
      <c r="L354" s="13">
        <v>0</v>
      </c>
      <c r="M354" s="8"/>
      <c r="N354" s="8"/>
    </row>
    <row r="355" spans="1:14" ht="51" customHeight="1">
      <c r="A355" s="8" t="s">
        <v>1456</v>
      </c>
      <c r="B355" s="8" t="s">
        <v>443</v>
      </c>
      <c r="C355" s="8" t="s">
        <v>420</v>
      </c>
      <c r="D355" s="8" t="s">
        <v>438</v>
      </c>
      <c r="E355" s="8" t="s">
        <v>1457</v>
      </c>
      <c r="F355" s="3" t="s">
        <v>445</v>
      </c>
      <c r="G355" s="8" t="s">
        <v>89</v>
      </c>
      <c r="H355" s="8">
        <v>0.5</v>
      </c>
      <c r="I355" s="8" t="s">
        <v>1453</v>
      </c>
      <c r="J355" s="3" t="s">
        <v>1458</v>
      </c>
      <c r="K355" s="8" t="s">
        <v>475</v>
      </c>
      <c r="L355" s="13">
        <v>0</v>
      </c>
      <c r="M355" s="8"/>
      <c r="N355" s="8"/>
    </row>
    <row r="356" spans="1:14" ht="51" customHeight="1">
      <c r="A356" s="8" t="s">
        <v>1459</v>
      </c>
      <c r="B356" s="8" t="s">
        <v>443</v>
      </c>
      <c r="C356" s="8" t="s">
        <v>420</v>
      </c>
      <c r="D356" s="8" t="s">
        <v>438</v>
      </c>
      <c r="E356" s="8" t="s">
        <v>1460</v>
      </c>
      <c r="F356" s="3" t="s">
        <v>445</v>
      </c>
      <c r="G356" s="8" t="s">
        <v>89</v>
      </c>
      <c r="H356" s="8">
        <v>1</v>
      </c>
      <c r="I356" s="8" t="s">
        <v>1456</v>
      </c>
      <c r="J356" s="3" t="s">
        <v>447</v>
      </c>
      <c r="K356" s="8" t="s">
        <v>475</v>
      </c>
      <c r="L356" s="13">
        <v>0</v>
      </c>
      <c r="M356" s="8"/>
      <c r="N356" s="8"/>
    </row>
    <row r="357" spans="1:14" ht="51" customHeight="1">
      <c r="A357" s="8" t="s">
        <v>1461</v>
      </c>
      <c r="B357" s="8" t="s">
        <v>443</v>
      </c>
      <c r="C357" s="8" t="s">
        <v>420</v>
      </c>
      <c r="D357" s="8" t="s">
        <v>438</v>
      </c>
      <c r="E357" s="8" t="s">
        <v>1462</v>
      </c>
      <c r="F357" s="3" t="s">
        <v>445</v>
      </c>
      <c r="G357" s="8" t="s">
        <v>89</v>
      </c>
      <c r="H357" s="8">
        <v>1</v>
      </c>
      <c r="I357" s="8" t="s">
        <v>1459</v>
      </c>
      <c r="J357" s="3" t="s">
        <v>1463</v>
      </c>
      <c r="K357" s="8" t="s">
        <v>475</v>
      </c>
      <c r="L357" s="13">
        <v>0</v>
      </c>
      <c r="M357" s="8"/>
      <c r="N357" s="8"/>
    </row>
    <row r="358" spans="1:14" ht="51" customHeight="1">
      <c r="A358" s="8" t="s">
        <v>1464</v>
      </c>
      <c r="B358" s="8" t="s">
        <v>443</v>
      </c>
      <c r="C358" s="8" t="s">
        <v>420</v>
      </c>
      <c r="D358" s="8" t="s">
        <v>438</v>
      </c>
      <c r="E358" s="8" t="s">
        <v>1465</v>
      </c>
      <c r="F358" s="3" t="s">
        <v>445</v>
      </c>
      <c r="G358" s="8" t="s">
        <v>89</v>
      </c>
      <c r="H358" s="8">
        <v>0.5</v>
      </c>
      <c r="I358" s="8" t="s">
        <v>1461</v>
      </c>
      <c r="J358" s="3" t="s">
        <v>1466</v>
      </c>
      <c r="K358" s="8" t="s">
        <v>475</v>
      </c>
      <c r="L358" s="13">
        <v>0</v>
      </c>
      <c r="M358" s="8"/>
      <c r="N358" s="8"/>
    </row>
    <row r="359" spans="1:14" ht="51" customHeight="1">
      <c r="A359" s="8" t="s">
        <v>1467</v>
      </c>
      <c r="B359" s="8" t="s">
        <v>448</v>
      </c>
      <c r="C359" s="8" t="s">
        <v>420</v>
      </c>
      <c r="D359" s="8" t="s">
        <v>449</v>
      </c>
      <c r="E359" s="8" t="s">
        <v>1468</v>
      </c>
      <c r="F359" s="3" t="s">
        <v>451</v>
      </c>
      <c r="G359" s="8" t="s">
        <v>55</v>
      </c>
      <c r="H359" s="8">
        <v>0.5</v>
      </c>
      <c r="I359" s="8" t="s">
        <v>1464</v>
      </c>
      <c r="J359" s="3" t="s">
        <v>1469</v>
      </c>
      <c r="K359" s="8" t="s">
        <v>475</v>
      </c>
      <c r="L359" s="13">
        <v>0</v>
      </c>
      <c r="M359" s="8"/>
      <c r="N359" s="8"/>
    </row>
    <row r="360" spans="1:14" ht="51" customHeight="1">
      <c r="A360" s="8" t="s">
        <v>1470</v>
      </c>
      <c r="B360" s="8" t="s">
        <v>448</v>
      </c>
      <c r="C360" s="8" t="s">
        <v>420</v>
      </c>
      <c r="D360" s="8" t="s">
        <v>449</v>
      </c>
      <c r="E360" s="8" t="s">
        <v>1471</v>
      </c>
      <c r="F360" s="3" t="s">
        <v>451</v>
      </c>
      <c r="G360" s="8" t="s">
        <v>55</v>
      </c>
      <c r="H360" s="8">
        <v>1</v>
      </c>
      <c r="I360" s="8" t="s">
        <v>1467</v>
      </c>
      <c r="J360" s="3" t="s">
        <v>1472</v>
      </c>
      <c r="K360" s="8" t="s">
        <v>475</v>
      </c>
      <c r="L360" s="13">
        <v>0</v>
      </c>
      <c r="M360" s="8"/>
      <c r="N360" s="8"/>
    </row>
    <row r="361" spans="1:14" ht="51" customHeight="1">
      <c r="A361" s="8" t="s">
        <v>1473</v>
      </c>
      <c r="B361" s="8" t="s">
        <v>448</v>
      </c>
      <c r="C361" s="8" t="s">
        <v>420</v>
      </c>
      <c r="D361" s="8" t="s">
        <v>449</v>
      </c>
      <c r="E361" s="8" t="s">
        <v>1474</v>
      </c>
      <c r="F361" s="3" t="s">
        <v>451</v>
      </c>
      <c r="G361" s="8" t="s">
        <v>55</v>
      </c>
      <c r="H361" s="8">
        <v>1</v>
      </c>
      <c r="I361" s="8" t="s">
        <v>1470</v>
      </c>
      <c r="J361" s="3" t="s">
        <v>453</v>
      </c>
      <c r="K361" s="8" t="s">
        <v>475</v>
      </c>
      <c r="L361" s="13">
        <v>0</v>
      </c>
      <c r="M361" s="8"/>
      <c r="N361" s="8"/>
    </row>
    <row r="362" spans="1:14" ht="51" customHeight="1">
      <c r="A362" s="8" t="s">
        <v>1475</v>
      </c>
      <c r="B362" s="8" t="s">
        <v>448</v>
      </c>
      <c r="C362" s="8" t="s">
        <v>420</v>
      </c>
      <c r="D362" s="8" t="s">
        <v>449</v>
      </c>
      <c r="E362" s="8" t="s">
        <v>1476</v>
      </c>
      <c r="F362" s="3" t="s">
        <v>451</v>
      </c>
      <c r="G362" s="8" t="s">
        <v>55</v>
      </c>
      <c r="H362" s="8">
        <v>1</v>
      </c>
      <c r="I362" s="8" t="s">
        <v>1473</v>
      </c>
      <c r="J362" s="3" t="s">
        <v>1477</v>
      </c>
      <c r="K362" s="8" t="s">
        <v>475</v>
      </c>
      <c r="L362" s="13">
        <v>0</v>
      </c>
      <c r="M362" s="8"/>
      <c r="N362" s="8"/>
    </row>
    <row r="363" spans="1:14" ht="51" customHeight="1">
      <c r="A363" s="8" t="s">
        <v>1478</v>
      </c>
      <c r="B363" s="8" t="s">
        <v>448</v>
      </c>
      <c r="C363" s="8" t="s">
        <v>420</v>
      </c>
      <c r="D363" s="8" t="s">
        <v>449</v>
      </c>
      <c r="E363" s="8" t="s">
        <v>1479</v>
      </c>
      <c r="F363" s="3" t="s">
        <v>451</v>
      </c>
      <c r="G363" s="8" t="s">
        <v>55</v>
      </c>
      <c r="H363" s="8">
        <v>0.5</v>
      </c>
      <c r="I363" s="8" t="s">
        <v>1475</v>
      </c>
      <c r="J363" s="3" t="s">
        <v>1480</v>
      </c>
      <c r="K363" s="8" t="s">
        <v>475</v>
      </c>
      <c r="L363" s="13">
        <v>0</v>
      </c>
      <c r="M363" s="8"/>
      <c r="N363" s="8"/>
    </row>
    <row r="364" spans="1:14" ht="51" customHeight="1">
      <c r="A364" s="8" t="s">
        <v>1481</v>
      </c>
      <c r="B364" s="8" t="s">
        <v>454</v>
      </c>
      <c r="C364" s="8" t="s">
        <v>420</v>
      </c>
      <c r="D364" s="8" t="s">
        <v>455</v>
      </c>
      <c r="E364" s="8" t="s">
        <v>1482</v>
      </c>
      <c r="F364" s="3" t="s">
        <v>457</v>
      </c>
      <c r="G364" s="8" t="s">
        <v>55</v>
      </c>
      <c r="H364" s="8">
        <v>1</v>
      </c>
      <c r="I364" s="8" t="s">
        <v>1478</v>
      </c>
      <c r="J364" s="3" t="s">
        <v>1483</v>
      </c>
      <c r="K364" s="8" t="s">
        <v>475</v>
      </c>
      <c r="L364" s="13">
        <v>0</v>
      </c>
      <c r="M364" s="8"/>
      <c r="N364" s="8"/>
    </row>
    <row r="365" spans="1:14" ht="51" customHeight="1">
      <c r="A365" s="8" t="s">
        <v>1484</v>
      </c>
      <c r="B365" s="8" t="s">
        <v>454</v>
      </c>
      <c r="C365" s="8" t="s">
        <v>420</v>
      </c>
      <c r="D365" s="8" t="s">
        <v>455</v>
      </c>
      <c r="E365" s="8" t="s">
        <v>1485</v>
      </c>
      <c r="F365" s="3" t="s">
        <v>457</v>
      </c>
      <c r="G365" s="8" t="s">
        <v>55</v>
      </c>
      <c r="H365" s="8">
        <v>0.5</v>
      </c>
      <c r="I365" s="8" t="s">
        <v>1481</v>
      </c>
      <c r="J365" s="3" t="s">
        <v>1486</v>
      </c>
      <c r="K365" s="8" t="s">
        <v>475</v>
      </c>
      <c r="L365" s="13">
        <v>0</v>
      </c>
      <c r="M365" s="8"/>
      <c r="N365" s="8"/>
    </row>
    <row r="366" spans="1:14" ht="51" customHeight="1">
      <c r="A366" s="8" t="s">
        <v>1487</v>
      </c>
      <c r="B366" s="8" t="s">
        <v>454</v>
      </c>
      <c r="C366" s="8" t="s">
        <v>420</v>
      </c>
      <c r="D366" s="8" t="s">
        <v>455</v>
      </c>
      <c r="E366" s="8" t="s">
        <v>1488</v>
      </c>
      <c r="F366" s="3" t="s">
        <v>457</v>
      </c>
      <c r="G366" s="8" t="s">
        <v>55</v>
      </c>
      <c r="H366" s="8">
        <v>2</v>
      </c>
      <c r="I366" s="8" t="s">
        <v>1484</v>
      </c>
      <c r="J366" s="3" t="s">
        <v>459</v>
      </c>
      <c r="K366" s="8" t="s">
        <v>475</v>
      </c>
      <c r="L366" s="13">
        <v>0</v>
      </c>
      <c r="M366" s="8"/>
      <c r="N366" s="8"/>
    </row>
    <row r="367" spans="1:14" ht="51" customHeight="1">
      <c r="A367" s="8" t="s">
        <v>1489</v>
      </c>
      <c r="B367" s="8" t="s">
        <v>454</v>
      </c>
      <c r="C367" s="8" t="s">
        <v>420</v>
      </c>
      <c r="D367" s="8" t="s">
        <v>455</v>
      </c>
      <c r="E367" s="8" t="s">
        <v>1490</v>
      </c>
      <c r="F367" s="3" t="s">
        <v>457</v>
      </c>
      <c r="G367" s="8" t="s">
        <v>55</v>
      </c>
      <c r="H367" s="8">
        <v>1</v>
      </c>
      <c r="I367" s="8" t="s">
        <v>1487</v>
      </c>
      <c r="J367" s="3" t="s">
        <v>1491</v>
      </c>
      <c r="K367" s="8" t="s">
        <v>475</v>
      </c>
      <c r="L367" s="13">
        <v>0</v>
      </c>
      <c r="M367" s="8"/>
      <c r="N367" s="8"/>
    </row>
    <row r="368" spans="1:14" ht="51" customHeight="1">
      <c r="A368" s="8" t="s">
        <v>1492</v>
      </c>
      <c r="B368" s="8" t="s">
        <v>454</v>
      </c>
      <c r="C368" s="8" t="s">
        <v>420</v>
      </c>
      <c r="D368" s="8" t="s">
        <v>455</v>
      </c>
      <c r="E368" s="8" t="s">
        <v>1493</v>
      </c>
      <c r="F368" s="3" t="s">
        <v>457</v>
      </c>
      <c r="G368" s="8" t="s">
        <v>55</v>
      </c>
      <c r="H368" s="8">
        <v>0.5</v>
      </c>
      <c r="I368" s="8" t="s">
        <v>1489</v>
      </c>
      <c r="J368" s="3" t="s">
        <v>1494</v>
      </c>
      <c r="K368" s="8" t="s">
        <v>475</v>
      </c>
      <c r="L368" s="13">
        <v>0</v>
      </c>
      <c r="M368" s="8"/>
      <c r="N368" s="8"/>
    </row>
  </sheetData>
  <mergeCells count="1">
    <mergeCell ref="A1:N1"/>
  </mergeCells>
  <conditionalFormatting sqref="K4:K368">
    <cfRule type="expression" dxfId="18" priority="1">
      <formula>$K4="Completed"</formula>
    </cfRule>
    <cfRule type="expression" dxfId="17" priority="2">
      <formula>$K4="Blocked"</formula>
    </cfRule>
  </conditionalFormatting>
  <dataValidations count="2">
    <dataValidation type="list" sqref="K4:K368" xr:uid="{00000000-0002-0000-0200-000000000000}">
      <formula1>"Not Started,In Progress,Blocked,Completed"</formula1>
    </dataValidation>
    <dataValidation type="decimal" sqref="L4:L368" xr:uid="{00000000-0002-0000-0200-000001000000}">
      <formula1>0</formula1>
      <formula2>1</formula2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23"/>
  <sheetViews>
    <sheetView showGridLines="0" workbookViewId="0">
      <pane ySplit="3" topLeftCell="A4" activePane="bottomLeft" state="frozen"/>
      <selection pane="bottomLeft" activeCell="H4" sqref="H4"/>
    </sheetView>
  </sheetViews>
  <sheetFormatPr defaultRowHeight="15"/>
  <cols>
    <col min="1" max="1" width="9" customWidth="1"/>
    <col min="2" max="3" width="15" customWidth="1"/>
    <col min="4" max="4" width="12" customWidth="1"/>
    <col min="5" max="5" width="25" customWidth="1"/>
    <col min="6" max="6" width="42" customWidth="1"/>
    <col min="7" max="7" width="16" customWidth="1"/>
    <col min="8" max="8" width="15" customWidth="1"/>
    <col min="9" max="10" width="18" customWidth="1"/>
    <col min="11" max="11" width="28" customWidth="1"/>
  </cols>
  <sheetData>
    <row r="1" spans="1:11" ht="27.95" customHeight="1">
      <c r="A1" s="20" t="s">
        <v>1495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 customHeight="1">
      <c r="A3" s="5" t="s">
        <v>1496</v>
      </c>
      <c r="B3" s="5" t="s">
        <v>1497</v>
      </c>
      <c r="C3" s="5" t="s">
        <v>1498</v>
      </c>
      <c r="D3" s="5" t="s">
        <v>461</v>
      </c>
      <c r="E3" s="5" t="s">
        <v>43</v>
      </c>
      <c r="F3" s="5" t="s">
        <v>463</v>
      </c>
      <c r="G3" s="5" t="s">
        <v>1499</v>
      </c>
      <c r="H3" s="5" t="s">
        <v>1500</v>
      </c>
      <c r="I3" s="5" t="s">
        <v>1501</v>
      </c>
      <c r="J3" s="5" t="s">
        <v>1502</v>
      </c>
      <c r="K3" s="5" t="s">
        <v>1503</v>
      </c>
    </row>
    <row r="4" spans="1:11" ht="32.1" customHeight="1">
      <c r="A4" s="1">
        <v>1</v>
      </c>
      <c r="B4" s="7">
        <v>46266</v>
      </c>
      <c r="C4" s="1">
        <v>3</v>
      </c>
      <c r="D4" s="1" t="s">
        <v>472</v>
      </c>
      <c r="E4" s="1" t="s">
        <v>51</v>
      </c>
      <c r="F4" s="8" t="s">
        <v>473</v>
      </c>
      <c r="G4" s="1">
        <v>1</v>
      </c>
      <c r="H4" s="1" t="str">
        <f>IFERROR(_xlfn.SINGLE(_xlfn.XLOOKUP(D4, 'Task Plan'!$A:$A, 'Task Plan'!$K:$K)), "")</f>
        <v>Not Started</v>
      </c>
      <c r="I4" s="6">
        <f>IFERROR(_xlfn.SINGLE(_xlfn.XLOOKUP(D4, 'Task Plan'!$A:$A, 'Task Plan'!$L:$L)), 0)</f>
        <v>0</v>
      </c>
      <c r="J4" s="1">
        <f>SUMIF($A:$A,A4,$G:$G)</f>
        <v>3</v>
      </c>
      <c r="K4" s="1"/>
    </row>
    <row r="5" spans="1:11" ht="32.1" customHeight="1">
      <c r="A5" s="1">
        <v>1</v>
      </c>
      <c r="B5" s="7">
        <v>46266</v>
      </c>
      <c r="C5" s="1">
        <v>3</v>
      </c>
      <c r="D5" s="1" t="s">
        <v>476</v>
      </c>
      <c r="E5" s="1" t="s">
        <v>51</v>
      </c>
      <c r="F5" s="8" t="s">
        <v>477</v>
      </c>
      <c r="G5" s="1">
        <v>0.5</v>
      </c>
      <c r="H5" s="1" t="str">
        <f>IFERROR(_xlfn.SINGLE(_xlfn.XLOOKUP(D5, 'Task Plan'!$A:$A, 'Task Plan'!$K:$K)), "")</f>
        <v>Not Started</v>
      </c>
      <c r="I5" s="6">
        <f>IFERROR(_xlfn.SINGLE(_xlfn.XLOOKUP(D5, 'Task Plan'!$A:$A, 'Task Plan'!$L:$L)), 0)</f>
        <v>0</v>
      </c>
      <c r="J5" s="1">
        <f>SUMIF($A:$A,A5,$G:$G)</f>
        <v>3</v>
      </c>
      <c r="K5" s="1"/>
    </row>
    <row r="6" spans="1:11" ht="32.1" customHeight="1">
      <c r="A6" s="1">
        <v>1</v>
      </c>
      <c r="B6" s="7">
        <v>46266</v>
      </c>
      <c r="C6" s="1">
        <v>3</v>
      </c>
      <c r="D6" s="1" t="s">
        <v>479</v>
      </c>
      <c r="E6" s="1" t="s">
        <v>51</v>
      </c>
      <c r="F6" s="8" t="s">
        <v>480</v>
      </c>
      <c r="G6" s="1">
        <v>1</v>
      </c>
      <c r="H6" s="1" t="str">
        <f>IFERROR(_xlfn.SINGLE(_xlfn.XLOOKUP(D6, 'Task Plan'!$A:$A, 'Task Plan'!$K:$K)), "")</f>
        <v>Not Started</v>
      </c>
      <c r="I6" s="6">
        <f>IFERROR(_xlfn.SINGLE(_xlfn.XLOOKUP(D6, 'Task Plan'!$A:$A, 'Task Plan'!$L:$L)), 0)</f>
        <v>0</v>
      </c>
      <c r="J6" s="1">
        <f>SUMIF($A:$A,A6,$G:$G)</f>
        <v>3</v>
      </c>
      <c r="K6" s="1"/>
    </row>
    <row r="7" spans="1:11" ht="32.1" customHeight="1">
      <c r="A7" s="1">
        <v>1</v>
      </c>
      <c r="B7" s="7">
        <v>46266</v>
      </c>
      <c r="C7" s="1">
        <v>3</v>
      </c>
      <c r="D7" s="1" t="s">
        <v>481</v>
      </c>
      <c r="E7" s="1" t="s">
        <v>51</v>
      </c>
      <c r="F7" s="8" t="s">
        <v>482</v>
      </c>
      <c r="G7" s="1">
        <v>0.5</v>
      </c>
      <c r="H7" s="1" t="str">
        <f>IFERROR(_xlfn.SINGLE(_xlfn.XLOOKUP(D7, 'Task Plan'!$A:$A, 'Task Plan'!$K:$K)), "")</f>
        <v>Not Started</v>
      </c>
      <c r="I7" s="6">
        <f>IFERROR(_xlfn.SINGLE(_xlfn.XLOOKUP(D7, 'Task Plan'!$A:$A, 'Task Plan'!$L:$L)), 0)</f>
        <v>0</v>
      </c>
      <c r="J7" s="1">
        <f>SUMIF($A:$A,A7,$G:$G)</f>
        <v>3</v>
      </c>
      <c r="K7" s="1"/>
    </row>
    <row r="8" spans="1:11" ht="32.1" customHeight="1">
      <c r="A8" s="1">
        <v>2</v>
      </c>
      <c r="B8" s="7">
        <v>46267</v>
      </c>
      <c r="C8" s="1">
        <v>2</v>
      </c>
      <c r="D8" s="1" t="s">
        <v>481</v>
      </c>
      <c r="E8" s="1" t="s">
        <v>51</v>
      </c>
      <c r="F8" s="8" t="s">
        <v>482</v>
      </c>
      <c r="G8" s="1">
        <v>0.5</v>
      </c>
      <c r="H8" s="1" t="str">
        <f>IFERROR(_xlfn.SINGLE(_xlfn.XLOOKUP(D8, 'Task Plan'!$A:$A, 'Task Plan'!$K:$K)), "")</f>
        <v>Not Started</v>
      </c>
      <c r="I8" s="6">
        <f>IFERROR(_xlfn.SINGLE(_xlfn.XLOOKUP(D8, 'Task Plan'!$A:$A, 'Task Plan'!$L:$L)), 0)</f>
        <v>0</v>
      </c>
      <c r="J8" s="1">
        <f>SUMIF($A:$A,A8,$G:$G)</f>
        <v>2</v>
      </c>
      <c r="K8" s="1"/>
    </row>
    <row r="9" spans="1:11" ht="32.1" customHeight="1">
      <c r="A9" s="1">
        <v>2</v>
      </c>
      <c r="B9" s="7">
        <v>46267</v>
      </c>
      <c r="C9" s="1">
        <v>2</v>
      </c>
      <c r="D9" s="1" t="s">
        <v>484</v>
      </c>
      <c r="E9" s="1" t="s">
        <v>51</v>
      </c>
      <c r="F9" s="8" t="s">
        <v>485</v>
      </c>
      <c r="G9" s="1">
        <v>0.5</v>
      </c>
      <c r="H9" s="1" t="str">
        <f>IFERROR(_xlfn.SINGLE(_xlfn.XLOOKUP(D9, 'Task Plan'!$A:$A, 'Task Plan'!$K:$K)), "")</f>
        <v>Not Started</v>
      </c>
      <c r="I9" s="6">
        <f>IFERROR(_xlfn.SINGLE(_xlfn.XLOOKUP(D9, 'Task Plan'!$A:$A, 'Task Plan'!$L:$L)), 0)</f>
        <v>0</v>
      </c>
      <c r="J9" s="1">
        <f>SUMIF($A:$A,A9,$G:$G)</f>
        <v>2</v>
      </c>
      <c r="K9" s="1"/>
    </row>
    <row r="10" spans="1:11" ht="32.1" customHeight="1">
      <c r="A10" s="1">
        <v>2</v>
      </c>
      <c r="B10" s="7">
        <v>46267</v>
      </c>
      <c r="C10" s="1">
        <v>2</v>
      </c>
      <c r="D10" s="1" t="s">
        <v>487</v>
      </c>
      <c r="E10" s="1" t="s">
        <v>51</v>
      </c>
      <c r="F10" s="8" t="s">
        <v>488</v>
      </c>
      <c r="G10" s="1">
        <v>0.5</v>
      </c>
      <c r="H10" s="1" t="str">
        <f>IFERROR(_xlfn.SINGLE(_xlfn.XLOOKUP(D10, 'Task Plan'!$A:$A, 'Task Plan'!$K:$K)), "")</f>
        <v>Not Started</v>
      </c>
      <c r="I10" s="6">
        <f>IFERROR(_xlfn.SINGLE(_xlfn.XLOOKUP(D10, 'Task Plan'!$A:$A, 'Task Plan'!$L:$L)), 0)</f>
        <v>0</v>
      </c>
      <c r="J10" s="1">
        <f>SUMIF($A:$A,A10,$G:$G)</f>
        <v>2</v>
      </c>
      <c r="K10" s="1"/>
    </row>
    <row r="11" spans="1:11" ht="32.1" customHeight="1">
      <c r="A11" s="1">
        <v>2</v>
      </c>
      <c r="B11" s="7">
        <v>46267</v>
      </c>
      <c r="C11" s="1">
        <v>2</v>
      </c>
      <c r="D11" s="1" t="s">
        <v>490</v>
      </c>
      <c r="E11" s="1" t="s">
        <v>51</v>
      </c>
      <c r="F11" s="8" t="s">
        <v>491</v>
      </c>
      <c r="G11" s="1">
        <v>0.5</v>
      </c>
      <c r="H11" s="1" t="str">
        <f>IFERROR(_xlfn.SINGLE(_xlfn.XLOOKUP(D11, 'Task Plan'!$A:$A, 'Task Plan'!$K:$K)), "")</f>
        <v>Not Started</v>
      </c>
      <c r="I11" s="6">
        <f>IFERROR(_xlfn.SINGLE(_xlfn.XLOOKUP(D11, 'Task Plan'!$A:$A, 'Task Plan'!$L:$L)), 0)</f>
        <v>0</v>
      </c>
      <c r="J11" s="1">
        <f>SUMIF($A:$A,A11,$G:$G)</f>
        <v>2</v>
      </c>
      <c r="K11" s="1"/>
    </row>
    <row r="12" spans="1:11" ht="32.1" customHeight="1">
      <c r="A12" s="1">
        <v>3</v>
      </c>
      <c r="B12" s="7">
        <v>46268</v>
      </c>
      <c r="C12" s="1">
        <v>2.5</v>
      </c>
      <c r="D12" s="1" t="s">
        <v>493</v>
      </c>
      <c r="E12" s="1" t="s">
        <v>51</v>
      </c>
      <c r="F12" s="8" t="s">
        <v>494</v>
      </c>
      <c r="G12" s="1">
        <v>1</v>
      </c>
      <c r="H12" s="1" t="str">
        <f>IFERROR(_xlfn.SINGLE(_xlfn.XLOOKUP(D12, 'Task Plan'!$A:$A, 'Task Plan'!$K:$K)), "")</f>
        <v>Not Started</v>
      </c>
      <c r="I12" s="6">
        <f>IFERROR(_xlfn.SINGLE(_xlfn.XLOOKUP(D12, 'Task Plan'!$A:$A, 'Task Plan'!$L:$L)), 0)</f>
        <v>0</v>
      </c>
      <c r="J12" s="1">
        <f>SUMIF($A:$A,A12,$G:$G)</f>
        <v>2.5</v>
      </c>
      <c r="K12" s="1"/>
    </row>
    <row r="13" spans="1:11" ht="32.1" customHeight="1">
      <c r="A13" s="1">
        <v>3</v>
      </c>
      <c r="B13" s="7">
        <v>46268</v>
      </c>
      <c r="C13" s="1">
        <v>2.5</v>
      </c>
      <c r="D13" s="1" t="s">
        <v>495</v>
      </c>
      <c r="E13" s="1" t="s">
        <v>51</v>
      </c>
      <c r="F13" s="8" t="s">
        <v>496</v>
      </c>
      <c r="G13" s="1">
        <v>1</v>
      </c>
      <c r="H13" s="1" t="str">
        <f>IFERROR(_xlfn.SINGLE(_xlfn.XLOOKUP(D13, 'Task Plan'!$A:$A, 'Task Plan'!$K:$K)), "")</f>
        <v>Not Started</v>
      </c>
      <c r="I13" s="6">
        <f>IFERROR(_xlfn.SINGLE(_xlfn.XLOOKUP(D13, 'Task Plan'!$A:$A, 'Task Plan'!$L:$L)), 0)</f>
        <v>0</v>
      </c>
      <c r="J13" s="1">
        <f>SUMIF($A:$A,A13,$G:$G)</f>
        <v>2.5</v>
      </c>
      <c r="K13" s="1"/>
    </row>
    <row r="14" spans="1:11" ht="32.1" customHeight="1">
      <c r="A14" s="1">
        <v>3</v>
      </c>
      <c r="B14" s="7">
        <v>46268</v>
      </c>
      <c r="C14" s="1">
        <v>2.5</v>
      </c>
      <c r="D14" s="1" t="s">
        <v>498</v>
      </c>
      <c r="E14" s="1" t="s">
        <v>51</v>
      </c>
      <c r="F14" s="8" t="s">
        <v>499</v>
      </c>
      <c r="G14" s="1">
        <v>0.5</v>
      </c>
      <c r="H14" s="1" t="str">
        <f>IFERROR(_xlfn.SINGLE(_xlfn.XLOOKUP(D14, 'Task Plan'!$A:$A, 'Task Plan'!$K:$K)), "")</f>
        <v>Not Started</v>
      </c>
      <c r="I14" s="6">
        <f>IFERROR(_xlfn.SINGLE(_xlfn.XLOOKUP(D14, 'Task Plan'!$A:$A, 'Task Plan'!$L:$L)), 0)</f>
        <v>0</v>
      </c>
      <c r="J14" s="1">
        <f>SUMIF($A:$A,A14,$G:$G)</f>
        <v>2.5</v>
      </c>
      <c r="K14" s="1"/>
    </row>
    <row r="15" spans="1:11" ht="32.1" customHeight="1">
      <c r="A15" s="1">
        <v>4</v>
      </c>
      <c r="B15" s="7">
        <v>46269</v>
      </c>
      <c r="C15" s="1">
        <v>3</v>
      </c>
      <c r="D15" s="1" t="s">
        <v>501</v>
      </c>
      <c r="E15" s="1" t="s">
        <v>51</v>
      </c>
      <c r="F15" s="8" t="s">
        <v>502</v>
      </c>
      <c r="G15" s="1">
        <v>1</v>
      </c>
      <c r="H15" s="1" t="str">
        <f>IFERROR(_xlfn.SINGLE(_xlfn.XLOOKUP(D15, 'Task Plan'!$A:$A, 'Task Plan'!$K:$K)), "")</f>
        <v>Not Started</v>
      </c>
      <c r="I15" s="6">
        <f>IFERROR(_xlfn.SINGLE(_xlfn.XLOOKUP(D15, 'Task Plan'!$A:$A, 'Task Plan'!$L:$L)), 0)</f>
        <v>0</v>
      </c>
      <c r="J15" s="1">
        <f>SUMIF($A:$A,A15,$G:$G)</f>
        <v>3</v>
      </c>
      <c r="K15" s="1"/>
    </row>
    <row r="16" spans="1:11" ht="32.1" customHeight="1">
      <c r="A16" s="1">
        <v>4</v>
      </c>
      <c r="B16" s="7">
        <v>46269</v>
      </c>
      <c r="C16" s="1">
        <v>3</v>
      </c>
      <c r="D16" s="1" t="s">
        <v>504</v>
      </c>
      <c r="E16" s="1" t="s">
        <v>51</v>
      </c>
      <c r="F16" s="8" t="s">
        <v>505</v>
      </c>
      <c r="G16" s="1">
        <v>1</v>
      </c>
      <c r="H16" s="1" t="str">
        <f>IFERROR(_xlfn.SINGLE(_xlfn.XLOOKUP(D16, 'Task Plan'!$A:$A, 'Task Plan'!$K:$K)), "")</f>
        <v>Not Started</v>
      </c>
      <c r="I16" s="6">
        <f>IFERROR(_xlfn.SINGLE(_xlfn.XLOOKUP(D16, 'Task Plan'!$A:$A, 'Task Plan'!$L:$L)), 0)</f>
        <v>0</v>
      </c>
      <c r="J16" s="1">
        <f>SUMIF($A:$A,A16,$G:$G)</f>
        <v>3</v>
      </c>
      <c r="K16" s="1"/>
    </row>
    <row r="17" spans="1:11" ht="32.1" customHeight="1">
      <c r="A17" s="1">
        <v>4</v>
      </c>
      <c r="B17" s="7">
        <v>46269</v>
      </c>
      <c r="C17" s="1">
        <v>3</v>
      </c>
      <c r="D17" s="1" t="s">
        <v>507</v>
      </c>
      <c r="E17" s="1" t="s">
        <v>51</v>
      </c>
      <c r="F17" s="8" t="s">
        <v>508</v>
      </c>
      <c r="G17" s="1">
        <v>1</v>
      </c>
      <c r="H17" s="1" t="str">
        <f>IFERROR(_xlfn.SINGLE(_xlfn.XLOOKUP(D17, 'Task Plan'!$A:$A, 'Task Plan'!$K:$K)), "")</f>
        <v>Not Started</v>
      </c>
      <c r="I17" s="6">
        <f>IFERROR(_xlfn.SINGLE(_xlfn.XLOOKUP(D17, 'Task Plan'!$A:$A, 'Task Plan'!$L:$L)), 0)</f>
        <v>0</v>
      </c>
      <c r="J17" s="1">
        <f>SUMIF($A:$A,A17,$G:$G)</f>
        <v>3</v>
      </c>
      <c r="K17" s="1"/>
    </row>
    <row r="18" spans="1:11" ht="32.1" customHeight="1">
      <c r="A18" s="1">
        <v>5</v>
      </c>
      <c r="B18" s="7">
        <v>46272</v>
      </c>
      <c r="C18" s="1">
        <v>3</v>
      </c>
      <c r="D18" s="1" t="s">
        <v>507</v>
      </c>
      <c r="E18" s="1" t="s">
        <v>51</v>
      </c>
      <c r="F18" s="8" t="s">
        <v>508</v>
      </c>
      <c r="G18" s="1">
        <v>1</v>
      </c>
      <c r="H18" s="1" t="str">
        <f>IFERROR(_xlfn.SINGLE(_xlfn.XLOOKUP(D18, 'Task Plan'!$A:$A, 'Task Plan'!$K:$K)), "")</f>
        <v>Not Started</v>
      </c>
      <c r="I18" s="6">
        <f>IFERROR(_xlfn.SINGLE(_xlfn.XLOOKUP(D18, 'Task Plan'!$A:$A, 'Task Plan'!$L:$L)), 0)</f>
        <v>0</v>
      </c>
      <c r="J18" s="1">
        <f>SUMIF($A:$A,A18,$G:$G)</f>
        <v>3</v>
      </c>
      <c r="K18" s="1"/>
    </row>
    <row r="19" spans="1:11" ht="32.1" customHeight="1">
      <c r="A19" s="1">
        <v>5</v>
      </c>
      <c r="B19" s="7">
        <v>46272</v>
      </c>
      <c r="C19" s="1">
        <v>3</v>
      </c>
      <c r="D19" s="1" t="s">
        <v>509</v>
      </c>
      <c r="E19" s="1" t="s">
        <v>51</v>
      </c>
      <c r="F19" s="8" t="s">
        <v>510</v>
      </c>
      <c r="G19" s="1">
        <v>1</v>
      </c>
      <c r="H19" s="1" t="str">
        <f>IFERROR(_xlfn.SINGLE(_xlfn.XLOOKUP(D19, 'Task Plan'!$A:$A, 'Task Plan'!$K:$K)), "")</f>
        <v>Not Started</v>
      </c>
      <c r="I19" s="6">
        <f>IFERROR(_xlfn.SINGLE(_xlfn.XLOOKUP(D19, 'Task Plan'!$A:$A, 'Task Plan'!$L:$L)), 0)</f>
        <v>0</v>
      </c>
      <c r="J19" s="1">
        <f>SUMIF($A:$A,A19,$G:$G)</f>
        <v>3</v>
      </c>
      <c r="K19" s="1"/>
    </row>
    <row r="20" spans="1:11" ht="32.1" customHeight="1">
      <c r="A20" s="1">
        <v>5</v>
      </c>
      <c r="B20" s="7">
        <v>46272</v>
      </c>
      <c r="C20" s="1">
        <v>3</v>
      </c>
      <c r="D20" s="1" t="s">
        <v>512</v>
      </c>
      <c r="E20" s="1" t="s">
        <v>51</v>
      </c>
      <c r="F20" s="8" t="s">
        <v>513</v>
      </c>
      <c r="G20" s="1">
        <v>0.5</v>
      </c>
      <c r="H20" s="1" t="str">
        <f>IFERROR(_xlfn.SINGLE(_xlfn.XLOOKUP(D20, 'Task Plan'!$A:$A, 'Task Plan'!$K:$K)), "")</f>
        <v>Not Started</v>
      </c>
      <c r="I20" s="6">
        <f>IFERROR(_xlfn.SINGLE(_xlfn.XLOOKUP(D20, 'Task Plan'!$A:$A, 'Task Plan'!$L:$L)), 0)</f>
        <v>0</v>
      </c>
      <c r="J20" s="1">
        <f>SUMIF($A:$A,A20,$G:$G)</f>
        <v>3</v>
      </c>
      <c r="K20" s="1"/>
    </row>
    <row r="21" spans="1:11" ht="32.1" customHeight="1">
      <c r="A21" s="1">
        <v>5</v>
      </c>
      <c r="B21" s="7">
        <v>46272</v>
      </c>
      <c r="C21" s="1">
        <v>3</v>
      </c>
      <c r="D21" s="1" t="s">
        <v>515</v>
      </c>
      <c r="E21" s="1" t="s">
        <v>51</v>
      </c>
      <c r="F21" s="8" t="s">
        <v>516</v>
      </c>
      <c r="G21" s="1">
        <v>0.5</v>
      </c>
      <c r="H21" s="1" t="str">
        <f>IFERROR(_xlfn.SINGLE(_xlfn.XLOOKUP(D21, 'Task Plan'!$A:$A, 'Task Plan'!$K:$K)), "")</f>
        <v>Not Started</v>
      </c>
      <c r="I21" s="6">
        <f>IFERROR(_xlfn.SINGLE(_xlfn.XLOOKUP(D21, 'Task Plan'!$A:$A, 'Task Plan'!$L:$L)), 0)</f>
        <v>0</v>
      </c>
      <c r="J21" s="1">
        <f>SUMIF($A:$A,A21,$G:$G)</f>
        <v>3</v>
      </c>
      <c r="K21" s="1"/>
    </row>
    <row r="22" spans="1:11" ht="32.1" customHeight="1">
      <c r="A22" s="1">
        <v>6</v>
      </c>
      <c r="B22" s="7">
        <v>46273</v>
      </c>
      <c r="C22" s="1">
        <v>3</v>
      </c>
      <c r="D22" s="1" t="s">
        <v>515</v>
      </c>
      <c r="E22" s="1" t="s">
        <v>51</v>
      </c>
      <c r="F22" s="8" t="s">
        <v>516</v>
      </c>
      <c r="G22" s="1">
        <v>0.5</v>
      </c>
      <c r="H22" s="1" t="str">
        <f>IFERROR(_xlfn.SINGLE(_xlfn.XLOOKUP(D22, 'Task Plan'!$A:$A, 'Task Plan'!$K:$K)), "")</f>
        <v>Not Started</v>
      </c>
      <c r="I22" s="6">
        <f>IFERROR(_xlfn.SINGLE(_xlfn.XLOOKUP(D22, 'Task Plan'!$A:$A, 'Task Plan'!$L:$L)), 0)</f>
        <v>0</v>
      </c>
      <c r="J22" s="1">
        <f>SUMIF($A:$A,A22,$G:$G)</f>
        <v>3</v>
      </c>
      <c r="K22" s="1"/>
    </row>
    <row r="23" spans="1:11" ht="32.1" customHeight="1">
      <c r="A23" s="1">
        <v>6</v>
      </c>
      <c r="B23" s="7">
        <v>46273</v>
      </c>
      <c r="C23" s="1">
        <v>3</v>
      </c>
      <c r="D23" s="1" t="s">
        <v>518</v>
      </c>
      <c r="E23" s="1" t="s">
        <v>51</v>
      </c>
      <c r="F23" s="8" t="s">
        <v>519</v>
      </c>
      <c r="G23" s="1">
        <v>0.5</v>
      </c>
      <c r="H23" s="1" t="str">
        <f>IFERROR(_xlfn.SINGLE(_xlfn.XLOOKUP(D23, 'Task Plan'!$A:$A, 'Task Plan'!$K:$K)), "")</f>
        <v>Not Started</v>
      </c>
      <c r="I23" s="6">
        <f>IFERROR(_xlfn.SINGLE(_xlfn.XLOOKUP(D23, 'Task Plan'!$A:$A, 'Task Plan'!$L:$L)), 0)</f>
        <v>0</v>
      </c>
      <c r="J23" s="1">
        <f>SUMIF($A:$A,A23,$G:$G)</f>
        <v>3</v>
      </c>
      <c r="K23" s="1"/>
    </row>
    <row r="24" spans="1:11" ht="32.1" customHeight="1">
      <c r="A24" s="1">
        <v>6</v>
      </c>
      <c r="B24" s="7">
        <v>46273</v>
      </c>
      <c r="C24" s="1">
        <v>3</v>
      </c>
      <c r="D24" s="1" t="s">
        <v>521</v>
      </c>
      <c r="E24" s="1" t="s">
        <v>51</v>
      </c>
      <c r="F24" s="8" t="s">
        <v>522</v>
      </c>
      <c r="G24" s="1">
        <v>1</v>
      </c>
      <c r="H24" s="1" t="str">
        <f>IFERROR(_xlfn.SINGLE(_xlfn.XLOOKUP(D24, 'Task Plan'!$A:$A, 'Task Plan'!$K:$K)), "")</f>
        <v>Not Started</v>
      </c>
      <c r="I24" s="6">
        <f>IFERROR(_xlfn.SINGLE(_xlfn.XLOOKUP(D24, 'Task Plan'!$A:$A, 'Task Plan'!$L:$L)), 0)</f>
        <v>0</v>
      </c>
      <c r="J24" s="1">
        <f>SUMIF($A:$A,A24,$G:$G)</f>
        <v>3</v>
      </c>
      <c r="K24" s="1"/>
    </row>
    <row r="25" spans="1:11" ht="32.1" customHeight="1">
      <c r="A25" s="1">
        <v>6</v>
      </c>
      <c r="B25" s="7">
        <v>46273</v>
      </c>
      <c r="C25" s="1">
        <v>3</v>
      </c>
      <c r="D25" s="1" t="s">
        <v>523</v>
      </c>
      <c r="E25" s="1" t="s">
        <v>51</v>
      </c>
      <c r="F25" s="8" t="s">
        <v>524</v>
      </c>
      <c r="G25" s="1">
        <v>1</v>
      </c>
      <c r="H25" s="1" t="str">
        <f>IFERROR(_xlfn.SINGLE(_xlfn.XLOOKUP(D25, 'Task Plan'!$A:$A, 'Task Plan'!$K:$K)), "")</f>
        <v>Not Started</v>
      </c>
      <c r="I25" s="6">
        <f>IFERROR(_xlfn.SINGLE(_xlfn.XLOOKUP(D25, 'Task Plan'!$A:$A, 'Task Plan'!$L:$L)), 0)</f>
        <v>0</v>
      </c>
      <c r="J25" s="1">
        <f>SUMIF($A:$A,A25,$G:$G)</f>
        <v>3</v>
      </c>
      <c r="K25" s="1"/>
    </row>
    <row r="26" spans="1:11" ht="32.1" customHeight="1">
      <c r="A26" s="1">
        <v>7</v>
      </c>
      <c r="B26" s="7">
        <v>46274</v>
      </c>
      <c r="C26" s="1">
        <v>3</v>
      </c>
      <c r="D26" s="1" t="s">
        <v>526</v>
      </c>
      <c r="E26" s="1" t="s">
        <v>51</v>
      </c>
      <c r="F26" s="8" t="s">
        <v>527</v>
      </c>
      <c r="G26" s="1">
        <v>0.5</v>
      </c>
      <c r="H26" s="1" t="str">
        <f>IFERROR(_xlfn.SINGLE(_xlfn.XLOOKUP(D26, 'Task Plan'!$A:$A, 'Task Plan'!$K:$K)), "")</f>
        <v>Not Started</v>
      </c>
      <c r="I26" s="6">
        <f>IFERROR(_xlfn.SINGLE(_xlfn.XLOOKUP(D26, 'Task Plan'!$A:$A, 'Task Plan'!$L:$L)), 0)</f>
        <v>0</v>
      </c>
      <c r="J26" s="1">
        <f>SUMIF($A:$A,A26,$G:$G)</f>
        <v>3</v>
      </c>
      <c r="K26" s="1"/>
    </row>
    <row r="27" spans="1:11" ht="32.1" customHeight="1">
      <c r="A27" s="1">
        <v>7</v>
      </c>
      <c r="B27" s="7">
        <v>46274</v>
      </c>
      <c r="C27" s="1">
        <v>3</v>
      </c>
      <c r="D27" s="1" t="s">
        <v>529</v>
      </c>
      <c r="E27" s="1" t="s">
        <v>51</v>
      </c>
      <c r="F27" s="8" t="s">
        <v>530</v>
      </c>
      <c r="G27" s="1">
        <v>0.5</v>
      </c>
      <c r="H27" s="1" t="str">
        <f>IFERROR(_xlfn.SINGLE(_xlfn.XLOOKUP(D27, 'Task Plan'!$A:$A, 'Task Plan'!$K:$K)), "")</f>
        <v>Not Started</v>
      </c>
      <c r="I27" s="6">
        <f>IFERROR(_xlfn.SINGLE(_xlfn.XLOOKUP(D27, 'Task Plan'!$A:$A, 'Task Plan'!$L:$L)), 0)</f>
        <v>0</v>
      </c>
      <c r="J27" s="1">
        <f>SUMIF($A:$A,A27,$G:$G)</f>
        <v>3</v>
      </c>
      <c r="K27" s="1"/>
    </row>
    <row r="28" spans="1:11" ht="32.1" customHeight="1">
      <c r="A28" s="1">
        <v>7</v>
      </c>
      <c r="B28" s="7">
        <v>46274</v>
      </c>
      <c r="C28" s="1">
        <v>3</v>
      </c>
      <c r="D28" s="1" t="s">
        <v>532</v>
      </c>
      <c r="E28" s="1" t="s">
        <v>51</v>
      </c>
      <c r="F28" s="8" t="s">
        <v>533</v>
      </c>
      <c r="G28" s="1">
        <v>1</v>
      </c>
      <c r="H28" s="1" t="str">
        <f>IFERROR(_xlfn.SINGLE(_xlfn.XLOOKUP(D28, 'Task Plan'!$A:$A, 'Task Plan'!$K:$K)), "")</f>
        <v>Not Started</v>
      </c>
      <c r="I28" s="6">
        <f>IFERROR(_xlfn.SINGLE(_xlfn.XLOOKUP(D28, 'Task Plan'!$A:$A, 'Task Plan'!$L:$L)), 0)</f>
        <v>0</v>
      </c>
      <c r="J28" s="1">
        <f>SUMIF($A:$A,A28,$G:$G)</f>
        <v>3</v>
      </c>
      <c r="K28" s="1"/>
    </row>
    <row r="29" spans="1:11" ht="32.1" customHeight="1">
      <c r="A29" s="1">
        <v>7</v>
      </c>
      <c r="B29" s="7">
        <v>46274</v>
      </c>
      <c r="C29" s="1">
        <v>3</v>
      </c>
      <c r="D29" s="1" t="s">
        <v>535</v>
      </c>
      <c r="E29" s="1" t="s">
        <v>51</v>
      </c>
      <c r="F29" s="8" t="s">
        <v>536</v>
      </c>
      <c r="G29" s="1">
        <v>1</v>
      </c>
      <c r="H29" s="1" t="str">
        <f>IFERROR(_xlfn.SINGLE(_xlfn.XLOOKUP(D29, 'Task Plan'!$A:$A, 'Task Plan'!$K:$K)), "")</f>
        <v>Not Started</v>
      </c>
      <c r="I29" s="6">
        <f>IFERROR(_xlfn.SINGLE(_xlfn.XLOOKUP(D29, 'Task Plan'!$A:$A, 'Task Plan'!$L:$L)), 0)</f>
        <v>0</v>
      </c>
      <c r="J29" s="1">
        <f>SUMIF($A:$A,A29,$G:$G)</f>
        <v>3</v>
      </c>
      <c r="K29" s="1"/>
    </row>
    <row r="30" spans="1:11" ht="32.1" customHeight="1">
      <c r="A30" s="1">
        <v>8</v>
      </c>
      <c r="B30" s="7">
        <v>46275</v>
      </c>
      <c r="C30" s="1">
        <v>2.5</v>
      </c>
      <c r="D30" s="1" t="s">
        <v>535</v>
      </c>
      <c r="E30" s="1" t="s">
        <v>51</v>
      </c>
      <c r="F30" s="8" t="s">
        <v>536</v>
      </c>
      <c r="G30" s="1">
        <v>1</v>
      </c>
      <c r="H30" s="1" t="str">
        <f>IFERROR(_xlfn.SINGLE(_xlfn.XLOOKUP(D30, 'Task Plan'!$A:$A, 'Task Plan'!$K:$K)), "")</f>
        <v>Not Started</v>
      </c>
      <c r="I30" s="6">
        <f>IFERROR(_xlfn.SINGLE(_xlfn.XLOOKUP(D30, 'Task Plan'!$A:$A, 'Task Plan'!$L:$L)), 0)</f>
        <v>0</v>
      </c>
      <c r="J30" s="1">
        <f>SUMIF($A:$A,A30,$G:$G)</f>
        <v>2.5</v>
      </c>
      <c r="K30" s="1"/>
    </row>
    <row r="31" spans="1:11" ht="32.1" customHeight="1">
      <c r="A31" s="1">
        <v>8</v>
      </c>
      <c r="B31" s="7">
        <v>46275</v>
      </c>
      <c r="C31" s="1">
        <v>2.5</v>
      </c>
      <c r="D31" s="1" t="s">
        <v>537</v>
      </c>
      <c r="E31" s="1" t="s">
        <v>51</v>
      </c>
      <c r="F31" s="8" t="s">
        <v>538</v>
      </c>
      <c r="G31" s="1">
        <v>1</v>
      </c>
      <c r="H31" s="1" t="str">
        <f>IFERROR(_xlfn.SINGLE(_xlfn.XLOOKUP(D31, 'Task Plan'!$A:$A, 'Task Plan'!$K:$K)), "")</f>
        <v>Not Started</v>
      </c>
      <c r="I31" s="6">
        <f>IFERROR(_xlfn.SINGLE(_xlfn.XLOOKUP(D31, 'Task Plan'!$A:$A, 'Task Plan'!$L:$L)), 0)</f>
        <v>0</v>
      </c>
      <c r="J31" s="1">
        <f>SUMIF($A:$A,A31,$G:$G)</f>
        <v>2.5</v>
      </c>
      <c r="K31" s="1"/>
    </row>
    <row r="32" spans="1:11" ht="32.1" customHeight="1">
      <c r="A32" s="1">
        <v>8</v>
      </c>
      <c r="B32" s="7">
        <v>46275</v>
      </c>
      <c r="C32" s="1">
        <v>2.5</v>
      </c>
      <c r="D32" s="1" t="s">
        <v>540</v>
      </c>
      <c r="E32" s="1" t="s">
        <v>51</v>
      </c>
      <c r="F32" s="8" t="s">
        <v>541</v>
      </c>
      <c r="G32" s="1">
        <v>0.5</v>
      </c>
      <c r="H32" s="1" t="str">
        <f>IFERROR(_xlfn.SINGLE(_xlfn.XLOOKUP(D32, 'Task Plan'!$A:$A, 'Task Plan'!$K:$K)), "")</f>
        <v>Not Started</v>
      </c>
      <c r="I32" s="6">
        <f>IFERROR(_xlfn.SINGLE(_xlfn.XLOOKUP(D32, 'Task Plan'!$A:$A, 'Task Plan'!$L:$L)), 0)</f>
        <v>0</v>
      </c>
      <c r="J32" s="1">
        <f>SUMIF($A:$A,A32,$G:$G)</f>
        <v>2.5</v>
      </c>
      <c r="K32" s="1"/>
    </row>
    <row r="33" spans="1:11" ht="32.1" customHeight="1">
      <c r="A33" s="1">
        <v>9</v>
      </c>
      <c r="B33" s="7">
        <v>46276</v>
      </c>
      <c r="C33" s="1">
        <v>2.5</v>
      </c>
      <c r="D33" s="1" t="s">
        <v>543</v>
      </c>
      <c r="E33" s="1" t="s">
        <v>51</v>
      </c>
      <c r="F33" s="8" t="s">
        <v>544</v>
      </c>
      <c r="G33" s="1">
        <v>0.5</v>
      </c>
      <c r="H33" s="1" t="str">
        <f>IFERROR(_xlfn.SINGLE(_xlfn.XLOOKUP(D33, 'Task Plan'!$A:$A, 'Task Plan'!$K:$K)), "")</f>
        <v>Not Started</v>
      </c>
      <c r="I33" s="6">
        <f>IFERROR(_xlfn.SINGLE(_xlfn.XLOOKUP(D33, 'Task Plan'!$A:$A, 'Task Plan'!$L:$L)), 0)</f>
        <v>0</v>
      </c>
      <c r="J33" s="1">
        <f>SUMIF($A:$A,A33,$G:$G)</f>
        <v>2.5</v>
      </c>
      <c r="K33" s="1"/>
    </row>
    <row r="34" spans="1:11" ht="32.1" customHeight="1">
      <c r="A34" s="1">
        <v>9</v>
      </c>
      <c r="B34" s="7">
        <v>46276</v>
      </c>
      <c r="C34" s="1">
        <v>2.5</v>
      </c>
      <c r="D34" s="1" t="s">
        <v>546</v>
      </c>
      <c r="E34" s="1" t="s">
        <v>51</v>
      </c>
      <c r="F34" s="8" t="s">
        <v>547</v>
      </c>
      <c r="G34" s="1">
        <v>1</v>
      </c>
      <c r="H34" s="1" t="str">
        <f>IFERROR(_xlfn.SINGLE(_xlfn.XLOOKUP(D34, 'Task Plan'!$A:$A, 'Task Plan'!$K:$K)), "")</f>
        <v>Not Started</v>
      </c>
      <c r="I34" s="6">
        <f>IFERROR(_xlfn.SINGLE(_xlfn.XLOOKUP(D34, 'Task Plan'!$A:$A, 'Task Plan'!$L:$L)), 0)</f>
        <v>0</v>
      </c>
      <c r="J34" s="1">
        <f>SUMIF($A:$A,A34,$G:$G)</f>
        <v>2.5</v>
      </c>
      <c r="K34" s="1"/>
    </row>
    <row r="35" spans="1:11" ht="32.1" customHeight="1">
      <c r="A35" s="1">
        <v>9</v>
      </c>
      <c r="B35" s="7">
        <v>46276</v>
      </c>
      <c r="C35" s="1">
        <v>2.5</v>
      </c>
      <c r="D35" s="1" t="s">
        <v>549</v>
      </c>
      <c r="E35" s="1" t="s">
        <v>51</v>
      </c>
      <c r="F35" s="8" t="s">
        <v>550</v>
      </c>
      <c r="G35" s="1">
        <v>1</v>
      </c>
      <c r="H35" s="1" t="str">
        <f>IFERROR(_xlfn.SINGLE(_xlfn.XLOOKUP(D35, 'Task Plan'!$A:$A, 'Task Plan'!$K:$K)), "")</f>
        <v>Not Started</v>
      </c>
      <c r="I35" s="6">
        <f>IFERROR(_xlfn.SINGLE(_xlfn.XLOOKUP(D35, 'Task Plan'!$A:$A, 'Task Plan'!$L:$L)), 0)</f>
        <v>0</v>
      </c>
      <c r="J35" s="1">
        <f>SUMIF($A:$A,A35,$G:$G)</f>
        <v>2.5</v>
      </c>
      <c r="K35" s="1"/>
    </row>
    <row r="36" spans="1:11" ht="32.1" customHeight="1">
      <c r="A36" s="1">
        <v>10</v>
      </c>
      <c r="B36" s="7">
        <v>46279</v>
      </c>
      <c r="C36" s="1">
        <v>2</v>
      </c>
      <c r="D36" s="1" t="s">
        <v>549</v>
      </c>
      <c r="E36" s="1" t="s">
        <v>51</v>
      </c>
      <c r="F36" s="8" t="s">
        <v>550</v>
      </c>
      <c r="G36" s="1">
        <v>1</v>
      </c>
      <c r="H36" s="1" t="str">
        <f>IFERROR(_xlfn.SINGLE(_xlfn.XLOOKUP(D36, 'Task Plan'!$A:$A, 'Task Plan'!$K:$K)), "")</f>
        <v>Not Started</v>
      </c>
      <c r="I36" s="6">
        <f>IFERROR(_xlfn.SINGLE(_xlfn.XLOOKUP(D36, 'Task Plan'!$A:$A, 'Task Plan'!$L:$L)), 0)</f>
        <v>0</v>
      </c>
      <c r="J36" s="1">
        <f>SUMIF($A:$A,A36,$G:$G)</f>
        <v>2</v>
      </c>
      <c r="K36" s="1"/>
    </row>
    <row r="37" spans="1:11" ht="32.1" customHeight="1">
      <c r="A37" s="1">
        <v>10</v>
      </c>
      <c r="B37" s="7">
        <v>46279</v>
      </c>
      <c r="C37" s="1">
        <v>2</v>
      </c>
      <c r="D37" s="1" t="s">
        <v>551</v>
      </c>
      <c r="E37" s="1" t="s">
        <v>51</v>
      </c>
      <c r="F37" s="8" t="s">
        <v>552</v>
      </c>
      <c r="G37" s="1">
        <v>1</v>
      </c>
      <c r="H37" s="1" t="str">
        <f>IFERROR(_xlfn.SINGLE(_xlfn.XLOOKUP(D37, 'Task Plan'!$A:$A, 'Task Plan'!$K:$K)), "")</f>
        <v>Not Started</v>
      </c>
      <c r="I37" s="6">
        <f>IFERROR(_xlfn.SINGLE(_xlfn.XLOOKUP(D37, 'Task Plan'!$A:$A, 'Task Plan'!$L:$L)), 0)</f>
        <v>0</v>
      </c>
      <c r="J37" s="1">
        <f>SUMIF($A:$A,A37,$G:$G)</f>
        <v>2</v>
      </c>
      <c r="K37" s="1"/>
    </row>
    <row r="38" spans="1:11" ht="32.1" customHeight="1">
      <c r="A38" s="1">
        <v>11</v>
      </c>
      <c r="B38" s="7">
        <v>46280</v>
      </c>
      <c r="C38" s="1">
        <v>3</v>
      </c>
      <c r="D38" s="1" t="s">
        <v>554</v>
      </c>
      <c r="E38" s="1" t="s">
        <v>51</v>
      </c>
      <c r="F38" s="8" t="s">
        <v>555</v>
      </c>
      <c r="G38" s="1">
        <v>0.5</v>
      </c>
      <c r="H38" s="1" t="str">
        <f>IFERROR(_xlfn.SINGLE(_xlfn.XLOOKUP(D38, 'Task Plan'!$A:$A, 'Task Plan'!$K:$K)), "")</f>
        <v>Not Started</v>
      </c>
      <c r="I38" s="6">
        <f>IFERROR(_xlfn.SINGLE(_xlfn.XLOOKUP(D38, 'Task Plan'!$A:$A, 'Task Plan'!$L:$L)), 0)</f>
        <v>0</v>
      </c>
      <c r="J38" s="1">
        <f>SUMIF($A:$A,A38,$G:$G)</f>
        <v>3</v>
      </c>
      <c r="K38" s="1"/>
    </row>
    <row r="39" spans="1:11" ht="32.1" customHeight="1">
      <c r="A39" s="1">
        <v>11</v>
      </c>
      <c r="B39" s="7">
        <v>46280</v>
      </c>
      <c r="C39" s="1">
        <v>3</v>
      </c>
      <c r="D39" s="1" t="s">
        <v>557</v>
      </c>
      <c r="E39" s="1" t="s">
        <v>51</v>
      </c>
      <c r="F39" s="8" t="s">
        <v>558</v>
      </c>
      <c r="G39" s="1">
        <v>1</v>
      </c>
      <c r="H39" s="1" t="str">
        <f>IFERROR(_xlfn.SINGLE(_xlfn.XLOOKUP(D39, 'Task Plan'!$A:$A, 'Task Plan'!$K:$K)), "")</f>
        <v>Not Started</v>
      </c>
      <c r="I39" s="6">
        <f>IFERROR(_xlfn.SINGLE(_xlfn.XLOOKUP(D39, 'Task Plan'!$A:$A, 'Task Plan'!$L:$L)), 0)</f>
        <v>0</v>
      </c>
      <c r="J39" s="1">
        <f>SUMIF($A:$A,A39,$G:$G)</f>
        <v>3</v>
      </c>
      <c r="K39" s="1"/>
    </row>
    <row r="40" spans="1:11" ht="32.1" customHeight="1">
      <c r="A40" s="1">
        <v>11</v>
      </c>
      <c r="B40" s="7">
        <v>46280</v>
      </c>
      <c r="C40" s="1">
        <v>3</v>
      </c>
      <c r="D40" s="1" t="s">
        <v>560</v>
      </c>
      <c r="E40" s="1" t="s">
        <v>51</v>
      </c>
      <c r="F40" s="8" t="s">
        <v>561</v>
      </c>
      <c r="G40" s="1">
        <v>0.5</v>
      </c>
      <c r="H40" s="1" t="str">
        <f>IFERROR(_xlfn.SINGLE(_xlfn.XLOOKUP(D40, 'Task Plan'!$A:$A, 'Task Plan'!$K:$K)), "")</f>
        <v>Not Started</v>
      </c>
      <c r="I40" s="6">
        <f>IFERROR(_xlfn.SINGLE(_xlfn.XLOOKUP(D40, 'Task Plan'!$A:$A, 'Task Plan'!$L:$L)), 0)</f>
        <v>0</v>
      </c>
      <c r="J40" s="1">
        <f>SUMIF($A:$A,A40,$G:$G)</f>
        <v>3</v>
      </c>
      <c r="K40" s="1"/>
    </row>
    <row r="41" spans="1:11" ht="32.1" customHeight="1">
      <c r="A41" s="1">
        <v>11</v>
      </c>
      <c r="B41" s="7">
        <v>46280</v>
      </c>
      <c r="C41" s="1">
        <v>3</v>
      </c>
      <c r="D41" s="1" t="s">
        <v>563</v>
      </c>
      <c r="E41" s="1" t="s">
        <v>51</v>
      </c>
      <c r="F41" s="8" t="s">
        <v>564</v>
      </c>
      <c r="G41" s="1">
        <v>1</v>
      </c>
      <c r="H41" s="1" t="str">
        <f>IFERROR(_xlfn.SINGLE(_xlfn.XLOOKUP(D41, 'Task Plan'!$A:$A, 'Task Plan'!$K:$K)), "")</f>
        <v>Not Started</v>
      </c>
      <c r="I41" s="6">
        <f>IFERROR(_xlfn.SINGLE(_xlfn.XLOOKUP(D41, 'Task Plan'!$A:$A, 'Task Plan'!$L:$L)), 0)</f>
        <v>0</v>
      </c>
      <c r="J41" s="1">
        <f>SUMIF($A:$A,A41,$G:$G)</f>
        <v>3</v>
      </c>
      <c r="K41" s="1"/>
    </row>
    <row r="42" spans="1:11" ht="32.1" customHeight="1">
      <c r="A42" s="1">
        <v>12</v>
      </c>
      <c r="B42" s="7">
        <v>46281</v>
      </c>
      <c r="C42" s="1">
        <v>3</v>
      </c>
      <c r="D42" s="1" t="s">
        <v>563</v>
      </c>
      <c r="E42" s="1" t="s">
        <v>51</v>
      </c>
      <c r="F42" s="8" t="s">
        <v>564</v>
      </c>
      <c r="G42" s="1">
        <v>0.5</v>
      </c>
      <c r="H42" s="1" t="str">
        <f>IFERROR(_xlfn.SINGLE(_xlfn.XLOOKUP(D42, 'Task Plan'!$A:$A, 'Task Plan'!$K:$K)), "")</f>
        <v>Not Started</v>
      </c>
      <c r="I42" s="6">
        <f>IFERROR(_xlfn.SINGLE(_xlfn.XLOOKUP(D42, 'Task Plan'!$A:$A, 'Task Plan'!$L:$L)), 0)</f>
        <v>0</v>
      </c>
      <c r="J42" s="1">
        <f>SUMIF($A:$A,A42,$G:$G)</f>
        <v>3</v>
      </c>
      <c r="K42" s="1"/>
    </row>
    <row r="43" spans="1:11" ht="32.1" customHeight="1">
      <c r="A43" s="1">
        <v>12</v>
      </c>
      <c r="B43" s="7">
        <v>46281</v>
      </c>
      <c r="C43" s="1">
        <v>3</v>
      </c>
      <c r="D43" s="1" t="s">
        <v>565</v>
      </c>
      <c r="E43" s="1" t="s">
        <v>51</v>
      </c>
      <c r="F43" s="8" t="s">
        <v>566</v>
      </c>
      <c r="G43" s="1">
        <v>1</v>
      </c>
      <c r="H43" s="1" t="str">
        <f>IFERROR(_xlfn.SINGLE(_xlfn.XLOOKUP(D43, 'Task Plan'!$A:$A, 'Task Plan'!$K:$K)), "")</f>
        <v>Not Started</v>
      </c>
      <c r="I43" s="6">
        <f>IFERROR(_xlfn.SINGLE(_xlfn.XLOOKUP(D43, 'Task Plan'!$A:$A, 'Task Plan'!$L:$L)), 0)</f>
        <v>0</v>
      </c>
      <c r="J43" s="1">
        <f>SUMIF($A:$A,A43,$G:$G)</f>
        <v>3</v>
      </c>
      <c r="K43" s="1"/>
    </row>
    <row r="44" spans="1:11" ht="32.1" customHeight="1">
      <c r="A44" s="1">
        <v>12</v>
      </c>
      <c r="B44" s="7">
        <v>46281</v>
      </c>
      <c r="C44" s="1">
        <v>3</v>
      </c>
      <c r="D44" s="1" t="s">
        <v>568</v>
      </c>
      <c r="E44" s="1" t="s">
        <v>51</v>
      </c>
      <c r="F44" s="8" t="s">
        <v>569</v>
      </c>
      <c r="G44" s="1">
        <v>0.5</v>
      </c>
      <c r="H44" s="1" t="str">
        <f>IFERROR(_xlfn.SINGLE(_xlfn.XLOOKUP(D44, 'Task Plan'!$A:$A, 'Task Plan'!$K:$K)), "")</f>
        <v>Not Started</v>
      </c>
      <c r="I44" s="6">
        <f>IFERROR(_xlfn.SINGLE(_xlfn.XLOOKUP(D44, 'Task Plan'!$A:$A, 'Task Plan'!$L:$L)), 0)</f>
        <v>0</v>
      </c>
      <c r="J44" s="1">
        <f>SUMIF($A:$A,A44,$G:$G)</f>
        <v>3</v>
      </c>
      <c r="K44" s="1"/>
    </row>
    <row r="45" spans="1:11" ht="32.1" customHeight="1">
      <c r="A45" s="1">
        <v>12</v>
      </c>
      <c r="B45" s="7">
        <v>46281</v>
      </c>
      <c r="C45" s="1">
        <v>3</v>
      </c>
      <c r="D45" s="1" t="s">
        <v>571</v>
      </c>
      <c r="E45" s="1" t="s">
        <v>51</v>
      </c>
      <c r="F45" s="8" t="s">
        <v>572</v>
      </c>
      <c r="G45" s="1">
        <v>0.5</v>
      </c>
      <c r="H45" s="1" t="str">
        <f>IFERROR(_xlfn.SINGLE(_xlfn.XLOOKUP(D45, 'Task Plan'!$A:$A, 'Task Plan'!$K:$K)), "")</f>
        <v>Not Started</v>
      </c>
      <c r="I45" s="6">
        <f>IFERROR(_xlfn.SINGLE(_xlfn.XLOOKUP(D45, 'Task Plan'!$A:$A, 'Task Plan'!$L:$L)), 0)</f>
        <v>0</v>
      </c>
      <c r="J45" s="1">
        <f>SUMIF($A:$A,A45,$G:$G)</f>
        <v>3</v>
      </c>
      <c r="K45" s="1"/>
    </row>
    <row r="46" spans="1:11" ht="32.1" customHeight="1">
      <c r="A46" s="1">
        <v>12</v>
      </c>
      <c r="B46" s="7">
        <v>46281</v>
      </c>
      <c r="C46" s="1">
        <v>3</v>
      </c>
      <c r="D46" s="1" t="s">
        <v>574</v>
      </c>
      <c r="E46" s="1" t="s">
        <v>51</v>
      </c>
      <c r="F46" s="8" t="s">
        <v>575</v>
      </c>
      <c r="G46" s="1">
        <v>0.5</v>
      </c>
      <c r="H46" s="1" t="str">
        <f>IFERROR(_xlfn.SINGLE(_xlfn.XLOOKUP(D46, 'Task Plan'!$A:$A, 'Task Plan'!$K:$K)), "")</f>
        <v>Not Started</v>
      </c>
      <c r="I46" s="6">
        <f>IFERROR(_xlfn.SINGLE(_xlfn.XLOOKUP(D46, 'Task Plan'!$A:$A, 'Task Plan'!$L:$L)), 0)</f>
        <v>0</v>
      </c>
      <c r="J46" s="1">
        <f>SUMIF($A:$A,A46,$G:$G)</f>
        <v>3</v>
      </c>
      <c r="K46" s="1"/>
    </row>
    <row r="47" spans="1:11" ht="32.1" customHeight="1">
      <c r="A47" s="1">
        <v>13</v>
      </c>
      <c r="B47" s="7">
        <v>46282</v>
      </c>
      <c r="C47" s="1">
        <v>2.5</v>
      </c>
      <c r="D47" s="1" t="s">
        <v>577</v>
      </c>
      <c r="E47" s="1" t="s">
        <v>51</v>
      </c>
      <c r="F47" s="8" t="s">
        <v>578</v>
      </c>
      <c r="G47" s="1">
        <v>2</v>
      </c>
      <c r="H47" s="1" t="str">
        <f>IFERROR(_xlfn.SINGLE(_xlfn.XLOOKUP(D47, 'Task Plan'!$A:$A, 'Task Plan'!$K:$K)), "")</f>
        <v>Not Started</v>
      </c>
      <c r="I47" s="6">
        <f>IFERROR(_xlfn.SINGLE(_xlfn.XLOOKUP(D47, 'Task Plan'!$A:$A, 'Task Plan'!$L:$L)), 0)</f>
        <v>0</v>
      </c>
      <c r="J47" s="1">
        <f>SUMIF($A:$A,A47,$G:$G)</f>
        <v>2.5</v>
      </c>
      <c r="K47" s="1"/>
    </row>
    <row r="48" spans="1:11" ht="32.1" customHeight="1">
      <c r="A48" s="1">
        <v>13</v>
      </c>
      <c r="B48" s="7">
        <v>46282</v>
      </c>
      <c r="C48" s="1">
        <v>2.5</v>
      </c>
      <c r="D48" s="1" t="s">
        <v>579</v>
      </c>
      <c r="E48" s="1" t="s">
        <v>51</v>
      </c>
      <c r="F48" s="8" t="s">
        <v>580</v>
      </c>
      <c r="G48" s="1">
        <v>0.5</v>
      </c>
      <c r="H48" s="1" t="str">
        <f>IFERROR(_xlfn.SINGLE(_xlfn.XLOOKUP(D48, 'Task Plan'!$A:$A, 'Task Plan'!$K:$K)), "")</f>
        <v>Not Started</v>
      </c>
      <c r="I48" s="6">
        <f>IFERROR(_xlfn.SINGLE(_xlfn.XLOOKUP(D48, 'Task Plan'!$A:$A, 'Task Plan'!$L:$L)), 0)</f>
        <v>0</v>
      </c>
      <c r="J48" s="1">
        <f>SUMIF($A:$A,A48,$G:$G)</f>
        <v>2.5</v>
      </c>
      <c r="K48" s="1"/>
    </row>
    <row r="49" spans="1:11" ht="32.1" customHeight="1">
      <c r="A49" s="1">
        <v>14</v>
      </c>
      <c r="B49" s="7">
        <v>46283</v>
      </c>
      <c r="C49" s="1">
        <v>2</v>
      </c>
      <c r="D49" s="1" t="s">
        <v>579</v>
      </c>
      <c r="E49" s="1" t="s">
        <v>51</v>
      </c>
      <c r="F49" s="8" t="s">
        <v>580</v>
      </c>
      <c r="G49" s="1">
        <v>0.5</v>
      </c>
      <c r="H49" s="1" t="str">
        <f>IFERROR(_xlfn.SINGLE(_xlfn.XLOOKUP(D49, 'Task Plan'!$A:$A, 'Task Plan'!$K:$K)), "")</f>
        <v>Not Started</v>
      </c>
      <c r="I49" s="6">
        <f>IFERROR(_xlfn.SINGLE(_xlfn.XLOOKUP(D49, 'Task Plan'!$A:$A, 'Task Plan'!$L:$L)), 0)</f>
        <v>0</v>
      </c>
      <c r="J49" s="1">
        <f>SUMIF($A:$A,A49,$G:$G)</f>
        <v>2</v>
      </c>
      <c r="K49" s="1"/>
    </row>
    <row r="50" spans="1:11" ht="32.1" customHeight="1">
      <c r="A50" s="1">
        <v>14</v>
      </c>
      <c r="B50" s="7">
        <v>46283</v>
      </c>
      <c r="C50" s="1">
        <v>2</v>
      </c>
      <c r="D50" s="1" t="s">
        <v>582</v>
      </c>
      <c r="E50" s="1" t="s">
        <v>51</v>
      </c>
      <c r="F50" s="8" t="s">
        <v>583</v>
      </c>
      <c r="G50" s="1">
        <v>0.5</v>
      </c>
      <c r="H50" s="1" t="str">
        <f>IFERROR(_xlfn.SINGLE(_xlfn.XLOOKUP(D50, 'Task Plan'!$A:$A, 'Task Plan'!$K:$K)), "")</f>
        <v>Not Started</v>
      </c>
      <c r="I50" s="6">
        <f>IFERROR(_xlfn.SINGLE(_xlfn.XLOOKUP(D50, 'Task Plan'!$A:$A, 'Task Plan'!$L:$L)), 0)</f>
        <v>0</v>
      </c>
      <c r="J50" s="1">
        <f>SUMIF($A:$A,A50,$G:$G)</f>
        <v>2</v>
      </c>
      <c r="K50" s="1"/>
    </row>
    <row r="51" spans="1:11" ht="32.1" customHeight="1">
      <c r="A51" s="1">
        <v>14</v>
      </c>
      <c r="B51" s="7">
        <v>46283</v>
      </c>
      <c r="C51" s="1">
        <v>2</v>
      </c>
      <c r="D51" s="1" t="s">
        <v>585</v>
      </c>
      <c r="E51" s="1" t="s">
        <v>51</v>
      </c>
      <c r="F51" s="8" t="s">
        <v>586</v>
      </c>
      <c r="G51" s="1">
        <v>1</v>
      </c>
      <c r="H51" s="1" t="str">
        <f>IFERROR(_xlfn.SINGLE(_xlfn.XLOOKUP(D51, 'Task Plan'!$A:$A, 'Task Plan'!$K:$K)), "")</f>
        <v>Not Started</v>
      </c>
      <c r="I51" s="6">
        <f>IFERROR(_xlfn.SINGLE(_xlfn.XLOOKUP(D51, 'Task Plan'!$A:$A, 'Task Plan'!$L:$L)), 0)</f>
        <v>0</v>
      </c>
      <c r="J51" s="1">
        <f>SUMIF($A:$A,A51,$G:$G)</f>
        <v>2</v>
      </c>
      <c r="K51" s="1"/>
    </row>
    <row r="52" spans="1:11" ht="32.1" customHeight="1">
      <c r="A52" s="1">
        <v>15</v>
      </c>
      <c r="B52" s="7">
        <v>46286</v>
      </c>
      <c r="C52" s="1">
        <v>2.5</v>
      </c>
      <c r="D52" s="1" t="s">
        <v>588</v>
      </c>
      <c r="E52" s="1" t="s">
        <v>51</v>
      </c>
      <c r="F52" s="8" t="s">
        <v>589</v>
      </c>
      <c r="G52" s="1">
        <v>0.5</v>
      </c>
      <c r="H52" s="1" t="str">
        <f>IFERROR(_xlfn.SINGLE(_xlfn.XLOOKUP(D52, 'Task Plan'!$A:$A, 'Task Plan'!$K:$K)), "")</f>
        <v>Not Started</v>
      </c>
      <c r="I52" s="6">
        <f>IFERROR(_xlfn.SINGLE(_xlfn.XLOOKUP(D52, 'Task Plan'!$A:$A, 'Task Plan'!$L:$L)), 0)</f>
        <v>0</v>
      </c>
      <c r="J52" s="1">
        <f>SUMIF($A:$A,A52,$G:$G)</f>
        <v>2.5</v>
      </c>
      <c r="K52" s="1"/>
    </row>
    <row r="53" spans="1:11" ht="32.1" customHeight="1">
      <c r="A53" s="1">
        <v>15</v>
      </c>
      <c r="B53" s="7">
        <v>46286</v>
      </c>
      <c r="C53" s="1">
        <v>2.5</v>
      </c>
      <c r="D53" s="1" t="s">
        <v>591</v>
      </c>
      <c r="E53" s="1" t="s">
        <v>51</v>
      </c>
      <c r="F53" s="8" t="s">
        <v>592</v>
      </c>
      <c r="G53" s="1">
        <v>1</v>
      </c>
      <c r="H53" s="1" t="str">
        <f>IFERROR(_xlfn.SINGLE(_xlfn.XLOOKUP(D53, 'Task Plan'!$A:$A, 'Task Plan'!$K:$K)), "")</f>
        <v>Not Started</v>
      </c>
      <c r="I53" s="6">
        <f>IFERROR(_xlfn.SINGLE(_xlfn.XLOOKUP(D53, 'Task Plan'!$A:$A, 'Task Plan'!$L:$L)), 0)</f>
        <v>0</v>
      </c>
      <c r="J53" s="1">
        <f>SUMIF($A:$A,A53,$G:$G)</f>
        <v>2.5</v>
      </c>
      <c r="K53" s="1"/>
    </row>
    <row r="54" spans="1:11" ht="32.1" customHeight="1">
      <c r="A54" s="1">
        <v>15</v>
      </c>
      <c r="B54" s="7">
        <v>46286</v>
      </c>
      <c r="C54" s="1">
        <v>2.5</v>
      </c>
      <c r="D54" s="1" t="s">
        <v>593</v>
      </c>
      <c r="E54" s="1" t="s">
        <v>51</v>
      </c>
      <c r="F54" s="8" t="s">
        <v>594</v>
      </c>
      <c r="G54" s="1">
        <v>1</v>
      </c>
      <c r="H54" s="1" t="str">
        <f>IFERROR(_xlfn.SINGLE(_xlfn.XLOOKUP(D54, 'Task Plan'!$A:$A, 'Task Plan'!$K:$K)), "")</f>
        <v>Not Started</v>
      </c>
      <c r="I54" s="6">
        <f>IFERROR(_xlfn.SINGLE(_xlfn.XLOOKUP(D54, 'Task Plan'!$A:$A, 'Task Plan'!$L:$L)), 0)</f>
        <v>0</v>
      </c>
      <c r="J54" s="1">
        <f>SUMIF($A:$A,A54,$G:$G)</f>
        <v>2.5</v>
      </c>
      <c r="K54" s="1"/>
    </row>
    <row r="55" spans="1:11" ht="32.1" customHeight="1">
      <c r="A55" s="1">
        <v>16</v>
      </c>
      <c r="B55" s="7">
        <v>46287</v>
      </c>
      <c r="C55" s="1">
        <v>2.5</v>
      </c>
      <c r="D55" s="1" t="s">
        <v>596</v>
      </c>
      <c r="E55" s="1" t="s">
        <v>51</v>
      </c>
      <c r="F55" s="8" t="s">
        <v>597</v>
      </c>
      <c r="G55" s="1">
        <v>0.5</v>
      </c>
      <c r="H55" s="1" t="str">
        <f>IFERROR(_xlfn.SINGLE(_xlfn.XLOOKUP(D55, 'Task Plan'!$A:$A, 'Task Plan'!$K:$K)), "")</f>
        <v>Not Started</v>
      </c>
      <c r="I55" s="6">
        <f>IFERROR(_xlfn.SINGLE(_xlfn.XLOOKUP(D55, 'Task Plan'!$A:$A, 'Task Plan'!$L:$L)), 0)</f>
        <v>0</v>
      </c>
      <c r="J55" s="1">
        <f>SUMIF($A:$A,A55,$G:$G)</f>
        <v>2.5</v>
      </c>
      <c r="K55" s="1"/>
    </row>
    <row r="56" spans="1:11" ht="32.1" customHeight="1">
      <c r="A56" s="1">
        <v>16</v>
      </c>
      <c r="B56" s="7">
        <v>46287</v>
      </c>
      <c r="C56" s="1">
        <v>2.5</v>
      </c>
      <c r="D56" s="1" t="s">
        <v>599</v>
      </c>
      <c r="E56" s="1" t="s">
        <v>51</v>
      </c>
      <c r="F56" s="8" t="s">
        <v>600</v>
      </c>
      <c r="G56" s="1">
        <v>0.5</v>
      </c>
      <c r="H56" s="1" t="str">
        <f>IFERROR(_xlfn.SINGLE(_xlfn.XLOOKUP(D56, 'Task Plan'!$A:$A, 'Task Plan'!$K:$K)), "")</f>
        <v>Not Started</v>
      </c>
      <c r="I56" s="6">
        <f>IFERROR(_xlfn.SINGLE(_xlfn.XLOOKUP(D56, 'Task Plan'!$A:$A, 'Task Plan'!$L:$L)), 0)</f>
        <v>0</v>
      </c>
      <c r="J56" s="1">
        <f>SUMIF($A:$A,A56,$G:$G)</f>
        <v>2.5</v>
      </c>
      <c r="K56" s="1"/>
    </row>
    <row r="57" spans="1:11" ht="32.1" customHeight="1">
      <c r="A57" s="1">
        <v>16</v>
      </c>
      <c r="B57" s="7">
        <v>46287</v>
      </c>
      <c r="C57" s="1">
        <v>2.5</v>
      </c>
      <c r="D57" s="1" t="s">
        <v>602</v>
      </c>
      <c r="E57" s="1" t="s">
        <v>51</v>
      </c>
      <c r="F57" s="8" t="s">
        <v>603</v>
      </c>
      <c r="G57" s="1">
        <v>1</v>
      </c>
      <c r="H57" s="1" t="str">
        <f>IFERROR(_xlfn.SINGLE(_xlfn.XLOOKUP(D57, 'Task Plan'!$A:$A, 'Task Plan'!$K:$K)), "")</f>
        <v>Not Started</v>
      </c>
      <c r="I57" s="6">
        <f>IFERROR(_xlfn.SINGLE(_xlfn.XLOOKUP(D57, 'Task Plan'!$A:$A, 'Task Plan'!$L:$L)), 0)</f>
        <v>0</v>
      </c>
      <c r="J57" s="1">
        <f>SUMIF($A:$A,A57,$G:$G)</f>
        <v>2.5</v>
      </c>
      <c r="K57" s="1"/>
    </row>
    <row r="58" spans="1:11" ht="32.1" customHeight="1">
      <c r="A58" s="1">
        <v>16</v>
      </c>
      <c r="B58" s="7">
        <v>46287</v>
      </c>
      <c r="C58" s="1">
        <v>2.5</v>
      </c>
      <c r="D58" s="1" t="s">
        <v>605</v>
      </c>
      <c r="E58" s="1" t="s">
        <v>51</v>
      </c>
      <c r="F58" s="8" t="s">
        <v>606</v>
      </c>
      <c r="G58" s="1">
        <v>0.5</v>
      </c>
      <c r="H58" s="1" t="str">
        <f>IFERROR(_xlfn.SINGLE(_xlfn.XLOOKUP(D58, 'Task Plan'!$A:$A, 'Task Plan'!$K:$K)), "")</f>
        <v>Not Started</v>
      </c>
      <c r="I58" s="6">
        <f>IFERROR(_xlfn.SINGLE(_xlfn.XLOOKUP(D58, 'Task Plan'!$A:$A, 'Task Plan'!$L:$L)), 0)</f>
        <v>0</v>
      </c>
      <c r="J58" s="1">
        <f>SUMIF($A:$A,A58,$G:$G)</f>
        <v>2.5</v>
      </c>
      <c r="K58" s="1"/>
    </row>
    <row r="59" spans="1:11" ht="32.1" customHeight="1">
      <c r="A59" s="1">
        <v>17</v>
      </c>
      <c r="B59" s="7">
        <v>46288</v>
      </c>
      <c r="C59" s="1">
        <v>2</v>
      </c>
      <c r="D59" s="1" t="s">
        <v>605</v>
      </c>
      <c r="E59" s="1" t="s">
        <v>51</v>
      </c>
      <c r="F59" s="8" t="s">
        <v>606</v>
      </c>
      <c r="G59" s="1">
        <v>0.5</v>
      </c>
      <c r="H59" s="1" t="str">
        <f>IFERROR(_xlfn.SINGLE(_xlfn.XLOOKUP(D59, 'Task Plan'!$A:$A, 'Task Plan'!$K:$K)), "")</f>
        <v>Not Started</v>
      </c>
      <c r="I59" s="6">
        <f>IFERROR(_xlfn.SINGLE(_xlfn.XLOOKUP(D59, 'Task Plan'!$A:$A, 'Task Plan'!$L:$L)), 0)</f>
        <v>0</v>
      </c>
      <c r="J59" s="1">
        <f>SUMIF($A:$A,A59,$G:$G)</f>
        <v>2</v>
      </c>
      <c r="K59" s="1"/>
    </row>
    <row r="60" spans="1:11" ht="32.1" customHeight="1">
      <c r="A60" s="1">
        <v>17</v>
      </c>
      <c r="B60" s="7">
        <v>46288</v>
      </c>
      <c r="C60" s="1">
        <v>2</v>
      </c>
      <c r="D60" s="1" t="s">
        <v>607</v>
      </c>
      <c r="E60" s="1" t="s">
        <v>51</v>
      </c>
      <c r="F60" s="8" t="s">
        <v>608</v>
      </c>
      <c r="G60" s="1">
        <v>1</v>
      </c>
      <c r="H60" s="1" t="str">
        <f>IFERROR(_xlfn.SINGLE(_xlfn.XLOOKUP(D60, 'Task Plan'!$A:$A, 'Task Plan'!$K:$K)), "")</f>
        <v>Not Started</v>
      </c>
      <c r="I60" s="6">
        <f>IFERROR(_xlfn.SINGLE(_xlfn.XLOOKUP(D60, 'Task Plan'!$A:$A, 'Task Plan'!$L:$L)), 0)</f>
        <v>0</v>
      </c>
      <c r="J60" s="1">
        <f>SUMIF($A:$A,A60,$G:$G)</f>
        <v>2</v>
      </c>
      <c r="K60" s="1"/>
    </row>
    <row r="61" spans="1:11" ht="32.1" customHeight="1">
      <c r="A61" s="1">
        <v>17</v>
      </c>
      <c r="B61" s="7">
        <v>46288</v>
      </c>
      <c r="C61" s="1">
        <v>2</v>
      </c>
      <c r="D61" s="1" t="s">
        <v>610</v>
      </c>
      <c r="E61" s="1" t="s">
        <v>51</v>
      </c>
      <c r="F61" s="8" t="s">
        <v>611</v>
      </c>
      <c r="G61" s="1">
        <v>0.5</v>
      </c>
      <c r="H61" s="1" t="str">
        <f>IFERROR(_xlfn.SINGLE(_xlfn.XLOOKUP(D61, 'Task Plan'!$A:$A, 'Task Plan'!$K:$K)), "")</f>
        <v>Not Started</v>
      </c>
      <c r="I61" s="6">
        <f>IFERROR(_xlfn.SINGLE(_xlfn.XLOOKUP(D61, 'Task Plan'!$A:$A, 'Task Plan'!$L:$L)), 0)</f>
        <v>0</v>
      </c>
      <c r="J61" s="1">
        <f>SUMIF($A:$A,A61,$G:$G)</f>
        <v>2</v>
      </c>
      <c r="K61" s="1"/>
    </row>
    <row r="62" spans="1:11" ht="32.1" customHeight="1">
      <c r="A62" s="1">
        <v>18</v>
      </c>
      <c r="B62" s="7">
        <v>46289</v>
      </c>
      <c r="C62" s="1">
        <v>3</v>
      </c>
      <c r="D62" s="1" t="s">
        <v>613</v>
      </c>
      <c r="E62" s="1" t="s">
        <v>110</v>
      </c>
      <c r="F62" s="8" t="s">
        <v>614</v>
      </c>
      <c r="G62" s="1">
        <v>1</v>
      </c>
      <c r="H62" s="1" t="str">
        <f>IFERROR(_xlfn.SINGLE(_xlfn.XLOOKUP(D62, 'Task Plan'!$A:$A, 'Task Plan'!$K:$K)), "")</f>
        <v>Not Started</v>
      </c>
      <c r="I62" s="6">
        <f>IFERROR(_xlfn.SINGLE(_xlfn.XLOOKUP(D62, 'Task Plan'!$A:$A, 'Task Plan'!$L:$L)), 0)</f>
        <v>0</v>
      </c>
      <c r="J62" s="1">
        <f>SUMIF($A:$A,A62,$G:$G)</f>
        <v>3</v>
      </c>
      <c r="K62" s="1"/>
    </row>
    <row r="63" spans="1:11" ht="32.1" customHeight="1">
      <c r="A63" s="1">
        <v>18</v>
      </c>
      <c r="B63" s="7">
        <v>46289</v>
      </c>
      <c r="C63" s="1">
        <v>3</v>
      </c>
      <c r="D63" s="1" t="s">
        <v>616</v>
      </c>
      <c r="E63" s="1" t="s">
        <v>110</v>
      </c>
      <c r="F63" s="8" t="s">
        <v>617</v>
      </c>
      <c r="G63" s="1">
        <v>1</v>
      </c>
      <c r="H63" s="1" t="str">
        <f>IFERROR(_xlfn.SINGLE(_xlfn.XLOOKUP(D63, 'Task Plan'!$A:$A, 'Task Plan'!$K:$K)), "")</f>
        <v>Not Started</v>
      </c>
      <c r="I63" s="6">
        <f>IFERROR(_xlfn.SINGLE(_xlfn.XLOOKUP(D63, 'Task Plan'!$A:$A, 'Task Plan'!$L:$L)), 0)</f>
        <v>0</v>
      </c>
      <c r="J63" s="1">
        <f>SUMIF($A:$A,A63,$G:$G)</f>
        <v>3</v>
      </c>
      <c r="K63" s="1"/>
    </row>
    <row r="64" spans="1:11" ht="32.1" customHeight="1">
      <c r="A64" s="1">
        <v>18</v>
      </c>
      <c r="B64" s="7">
        <v>46289</v>
      </c>
      <c r="C64" s="1">
        <v>3</v>
      </c>
      <c r="D64" s="1" t="s">
        <v>619</v>
      </c>
      <c r="E64" s="1" t="s">
        <v>110</v>
      </c>
      <c r="F64" s="8" t="s">
        <v>620</v>
      </c>
      <c r="G64" s="1">
        <v>1</v>
      </c>
      <c r="H64" s="1" t="str">
        <f>IFERROR(_xlfn.SINGLE(_xlfn.XLOOKUP(D64, 'Task Plan'!$A:$A, 'Task Plan'!$K:$K)), "")</f>
        <v>Not Started</v>
      </c>
      <c r="I64" s="6">
        <f>IFERROR(_xlfn.SINGLE(_xlfn.XLOOKUP(D64, 'Task Plan'!$A:$A, 'Task Plan'!$L:$L)), 0)</f>
        <v>0</v>
      </c>
      <c r="J64" s="1">
        <f>SUMIF($A:$A,A64,$G:$G)</f>
        <v>3</v>
      </c>
      <c r="K64" s="1"/>
    </row>
    <row r="65" spans="1:11" ht="32.1" customHeight="1">
      <c r="A65" s="1">
        <v>19</v>
      </c>
      <c r="B65" s="7">
        <v>46290</v>
      </c>
      <c r="C65" s="1">
        <v>3</v>
      </c>
      <c r="D65" s="1" t="s">
        <v>621</v>
      </c>
      <c r="E65" s="1" t="s">
        <v>110</v>
      </c>
      <c r="F65" s="8" t="s">
        <v>622</v>
      </c>
      <c r="G65" s="1">
        <v>1</v>
      </c>
      <c r="H65" s="1" t="str">
        <f>IFERROR(_xlfn.SINGLE(_xlfn.XLOOKUP(D65, 'Task Plan'!$A:$A, 'Task Plan'!$K:$K)), "")</f>
        <v>Not Started</v>
      </c>
      <c r="I65" s="6">
        <f>IFERROR(_xlfn.SINGLE(_xlfn.XLOOKUP(D65, 'Task Plan'!$A:$A, 'Task Plan'!$L:$L)), 0)</f>
        <v>0</v>
      </c>
      <c r="J65" s="1">
        <f>SUMIF($A:$A,A65,$G:$G)</f>
        <v>3</v>
      </c>
      <c r="K65" s="1"/>
    </row>
    <row r="66" spans="1:11" ht="32.1" customHeight="1">
      <c r="A66" s="1">
        <v>19</v>
      </c>
      <c r="B66" s="7">
        <v>46290</v>
      </c>
      <c r="C66" s="1">
        <v>3</v>
      </c>
      <c r="D66" s="1" t="s">
        <v>624</v>
      </c>
      <c r="E66" s="1" t="s">
        <v>110</v>
      </c>
      <c r="F66" s="8" t="s">
        <v>625</v>
      </c>
      <c r="G66" s="1">
        <v>0.5</v>
      </c>
      <c r="H66" s="1" t="str">
        <f>IFERROR(_xlfn.SINGLE(_xlfn.XLOOKUP(D66, 'Task Plan'!$A:$A, 'Task Plan'!$K:$K)), "")</f>
        <v>Not Started</v>
      </c>
      <c r="I66" s="6">
        <f>IFERROR(_xlfn.SINGLE(_xlfn.XLOOKUP(D66, 'Task Plan'!$A:$A, 'Task Plan'!$L:$L)), 0)</f>
        <v>0</v>
      </c>
      <c r="J66" s="1">
        <f>SUMIF($A:$A,A66,$G:$G)</f>
        <v>3</v>
      </c>
      <c r="K66" s="1"/>
    </row>
    <row r="67" spans="1:11" ht="32.1" customHeight="1">
      <c r="A67" s="1">
        <v>19</v>
      </c>
      <c r="B67" s="7">
        <v>46290</v>
      </c>
      <c r="C67" s="1">
        <v>3</v>
      </c>
      <c r="D67" s="1" t="s">
        <v>627</v>
      </c>
      <c r="E67" s="1" t="s">
        <v>110</v>
      </c>
      <c r="F67" s="8" t="s">
        <v>628</v>
      </c>
      <c r="G67" s="1">
        <v>1</v>
      </c>
      <c r="H67" s="1" t="str">
        <f>IFERROR(_xlfn.SINGLE(_xlfn.XLOOKUP(D67, 'Task Plan'!$A:$A, 'Task Plan'!$K:$K)), "")</f>
        <v>Not Started</v>
      </c>
      <c r="I67" s="6">
        <f>IFERROR(_xlfn.SINGLE(_xlfn.XLOOKUP(D67, 'Task Plan'!$A:$A, 'Task Plan'!$L:$L)), 0)</f>
        <v>0</v>
      </c>
      <c r="J67" s="1">
        <f>SUMIF($A:$A,A67,$G:$G)</f>
        <v>3</v>
      </c>
      <c r="K67" s="1"/>
    </row>
    <row r="68" spans="1:11" ht="32.1" customHeight="1">
      <c r="A68" s="1">
        <v>19</v>
      </c>
      <c r="B68" s="7">
        <v>46290</v>
      </c>
      <c r="C68" s="1">
        <v>3</v>
      </c>
      <c r="D68" s="1" t="s">
        <v>630</v>
      </c>
      <c r="E68" s="1" t="s">
        <v>110</v>
      </c>
      <c r="F68" s="8" t="s">
        <v>631</v>
      </c>
      <c r="G68" s="1">
        <v>0.5</v>
      </c>
      <c r="H68" s="1" t="str">
        <f>IFERROR(_xlfn.SINGLE(_xlfn.XLOOKUP(D68, 'Task Plan'!$A:$A, 'Task Plan'!$K:$K)), "")</f>
        <v>Not Started</v>
      </c>
      <c r="I68" s="6">
        <f>IFERROR(_xlfn.SINGLE(_xlfn.XLOOKUP(D68, 'Task Plan'!$A:$A, 'Task Plan'!$L:$L)), 0)</f>
        <v>0</v>
      </c>
      <c r="J68" s="1">
        <f>SUMIF($A:$A,A68,$G:$G)</f>
        <v>3</v>
      </c>
      <c r="K68" s="1"/>
    </row>
    <row r="69" spans="1:11" ht="32.1" customHeight="1">
      <c r="A69" s="1">
        <v>20</v>
      </c>
      <c r="B69" s="7">
        <v>46293</v>
      </c>
      <c r="C69" s="1">
        <v>2.5</v>
      </c>
      <c r="D69" s="1" t="s">
        <v>633</v>
      </c>
      <c r="E69" s="1" t="s">
        <v>110</v>
      </c>
      <c r="F69" s="8" t="s">
        <v>634</v>
      </c>
      <c r="G69" s="1">
        <v>1.5</v>
      </c>
      <c r="H69" s="1" t="str">
        <f>IFERROR(_xlfn.SINGLE(_xlfn.XLOOKUP(D69, 'Task Plan'!$A:$A, 'Task Plan'!$K:$K)), "")</f>
        <v>Not Started</v>
      </c>
      <c r="I69" s="6">
        <f>IFERROR(_xlfn.SINGLE(_xlfn.XLOOKUP(D69, 'Task Plan'!$A:$A, 'Task Plan'!$L:$L)), 0)</f>
        <v>0</v>
      </c>
      <c r="J69" s="1">
        <f>SUMIF($A:$A,A69,$G:$G)</f>
        <v>2.5</v>
      </c>
      <c r="K69" s="1"/>
    </row>
    <row r="70" spans="1:11" ht="32.1" customHeight="1">
      <c r="A70" s="1">
        <v>20</v>
      </c>
      <c r="B70" s="7">
        <v>46293</v>
      </c>
      <c r="C70" s="1">
        <v>2.5</v>
      </c>
      <c r="D70" s="1" t="s">
        <v>635</v>
      </c>
      <c r="E70" s="1" t="s">
        <v>110</v>
      </c>
      <c r="F70" s="8" t="s">
        <v>636</v>
      </c>
      <c r="G70" s="1">
        <v>1</v>
      </c>
      <c r="H70" s="1" t="str">
        <f>IFERROR(_xlfn.SINGLE(_xlfn.XLOOKUP(D70, 'Task Plan'!$A:$A, 'Task Plan'!$K:$K)), "")</f>
        <v>Not Started</v>
      </c>
      <c r="I70" s="6">
        <f>IFERROR(_xlfn.SINGLE(_xlfn.XLOOKUP(D70, 'Task Plan'!$A:$A, 'Task Plan'!$L:$L)), 0)</f>
        <v>0</v>
      </c>
      <c r="J70" s="1">
        <f>SUMIF($A:$A,A70,$G:$G)</f>
        <v>2.5</v>
      </c>
      <c r="K70" s="1"/>
    </row>
    <row r="71" spans="1:11" ht="32.1" customHeight="1">
      <c r="A71" s="1">
        <v>21</v>
      </c>
      <c r="B71" s="7">
        <v>46294</v>
      </c>
      <c r="C71" s="1">
        <v>2.5</v>
      </c>
      <c r="D71" s="1" t="s">
        <v>638</v>
      </c>
      <c r="E71" s="1" t="s">
        <v>110</v>
      </c>
      <c r="F71" s="8" t="s">
        <v>639</v>
      </c>
      <c r="G71" s="1">
        <v>0.5</v>
      </c>
      <c r="H71" s="1" t="str">
        <f>IFERROR(_xlfn.SINGLE(_xlfn.XLOOKUP(D71, 'Task Plan'!$A:$A, 'Task Plan'!$K:$K)), "")</f>
        <v>Not Started</v>
      </c>
      <c r="I71" s="6">
        <f>IFERROR(_xlfn.SINGLE(_xlfn.XLOOKUP(D71, 'Task Plan'!$A:$A, 'Task Plan'!$L:$L)), 0)</f>
        <v>0</v>
      </c>
      <c r="J71" s="1">
        <f>SUMIF($A:$A,A71,$G:$G)</f>
        <v>2.5</v>
      </c>
      <c r="K71" s="1"/>
    </row>
    <row r="72" spans="1:11" ht="32.1" customHeight="1">
      <c r="A72" s="1">
        <v>21</v>
      </c>
      <c r="B72" s="7">
        <v>46294</v>
      </c>
      <c r="C72" s="1">
        <v>2.5</v>
      </c>
      <c r="D72" s="1" t="s">
        <v>641</v>
      </c>
      <c r="E72" s="1" t="s">
        <v>110</v>
      </c>
      <c r="F72" s="8" t="s">
        <v>642</v>
      </c>
      <c r="G72" s="1">
        <v>1</v>
      </c>
      <c r="H72" s="1" t="str">
        <f>IFERROR(_xlfn.SINGLE(_xlfn.XLOOKUP(D72, 'Task Plan'!$A:$A, 'Task Plan'!$K:$K)), "")</f>
        <v>Not Started</v>
      </c>
      <c r="I72" s="6">
        <f>IFERROR(_xlfn.SINGLE(_xlfn.XLOOKUP(D72, 'Task Plan'!$A:$A, 'Task Plan'!$L:$L)), 0)</f>
        <v>0</v>
      </c>
      <c r="J72" s="1">
        <f>SUMIF($A:$A,A72,$G:$G)</f>
        <v>2.5</v>
      </c>
      <c r="K72" s="1"/>
    </row>
    <row r="73" spans="1:11" ht="32.1" customHeight="1">
      <c r="A73" s="1">
        <v>21</v>
      </c>
      <c r="B73" s="7">
        <v>46294</v>
      </c>
      <c r="C73" s="1">
        <v>2.5</v>
      </c>
      <c r="D73" s="1" t="s">
        <v>644</v>
      </c>
      <c r="E73" s="1" t="s">
        <v>110</v>
      </c>
      <c r="F73" s="8" t="s">
        <v>645</v>
      </c>
      <c r="G73" s="1">
        <v>1</v>
      </c>
      <c r="H73" s="1" t="str">
        <f>IFERROR(_xlfn.SINGLE(_xlfn.XLOOKUP(D73, 'Task Plan'!$A:$A, 'Task Plan'!$K:$K)), "")</f>
        <v>Not Started</v>
      </c>
      <c r="I73" s="6">
        <f>IFERROR(_xlfn.SINGLE(_xlfn.XLOOKUP(D73, 'Task Plan'!$A:$A, 'Task Plan'!$L:$L)), 0)</f>
        <v>0</v>
      </c>
      <c r="J73" s="1">
        <f>SUMIF($A:$A,A73,$G:$G)</f>
        <v>2.5</v>
      </c>
      <c r="K73" s="1"/>
    </row>
    <row r="74" spans="1:11" ht="32.1" customHeight="1">
      <c r="A74" s="1">
        <v>22</v>
      </c>
      <c r="B74" s="7">
        <v>46295</v>
      </c>
      <c r="C74" s="1">
        <v>2.5</v>
      </c>
      <c r="D74" s="1" t="s">
        <v>647</v>
      </c>
      <c r="E74" s="1" t="s">
        <v>110</v>
      </c>
      <c r="F74" s="8" t="s">
        <v>648</v>
      </c>
      <c r="G74" s="1">
        <v>2</v>
      </c>
      <c r="H74" s="1" t="str">
        <f>IFERROR(_xlfn.SINGLE(_xlfn.XLOOKUP(D74, 'Task Plan'!$A:$A, 'Task Plan'!$K:$K)), "")</f>
        <v>Not Started</v>
      </c>
      <c r="I74" s="6">
        <f>IFERROR(_xlfn.SINGLE(_xlfn.XLOOKUP(D74, 'Task Plan'!$A:$A, 'Task Plan'!$L:$L)), 0)</f>
        <v>0</v>
      </c>
      <c r="J74" s="1">
        <f>SUMIF($A:$A,A74,$G:$G)</f>
        <v>2.5</v>
      </c>
      <c r="K74" s="1"/>
    </row>
    <row r="75" spans="1:11" ht="32.1" customHeight="1">
      <c r="A75" s="1">
        <v>22</v>
      </c>
      <c r="B75" s="7">
        <v>46295</v>
      </c>
      <c r="C75" s="1">
        <v>2.5</v>
      </c>
      <c r="D75" s="1" t="s">
        <v>649</v>
      </c>
      <c r="E75" s="1" t="s">
        <v>110</v>
      </c>
      <c r="F75" s="8" t="s">
        <v>650</v>
      </c>
      <c r="G75" s="1">
        <v>0.5</v>
      </c>
      <c r="H75" s="1" t="str">
        <f>IFERROR(_xlfn.SINGLE(_xlfn.XLOOKUP(D75, 'Task Plan'!$A:$A, 'Task Plan'!$K:$K)), "")</f>
        <v>Not Started</v>
      </c>
      <c r="I75" s="6">
        <f>IFERROR(_xlfn.SINGLE(_xlfn.XLOOKUP(D75, 'Task Plan'!$A:$A, 'Task Plan'!$L:$L)), 0)</f>
        <v>0</v>
      </c>
      <c r="J75" s="1">
        <f>SUMIF($A:$A,A75,$G:$G)</f>
        <v>2.5</v>
      </c>
      <c r="K75" s="1"/>
    </row>
    <row r="76" spans="1:11" ht="32.1" customHeight="1">
      <c r="A76" s="1">
        <v>23</v>
      </c>
      <c r="B76" s="7">
        <v>46296</v>
      </c>
      <c r="C76" s="1">
        <v>2</v>
      </c>
      <c r="D76" s="1" t="s">
        <v>649</v>
      </c>
      <c r="E76" s="1" t="s">
        <v>110</v>
      </c>
      <c r="F76" s="8" t="s">
        <v>650</v>
      </c>
      <c r="G76" s="1">
        <v>0.5</v>
      </c>
      <c r="H76" s="1" t="str">
        <f>IFERROR(_xlfn.SINGLE(_xlfn.XLOOKUP(D76, 'Task Plan'!$A:$A, 'Task Plan'!$K:$K)), "")</f>
        <v>Not Started</v>
      </c>
      <c r="I76" s="6">
        <f>IFERROR(_xlfn.SINGLE(_xlfn.XLOOKUP(D76, 'Task Plan'!$A:$A, 'Task Plan'!$L:$L)), 0)</f>
        <v>0</v>
      </c>
      <c r="J76" s="1">
        <f>SUMIF($A:$A,A76,$G:$G)</f>
        <v>2</v>
      </c>
      <c r="K76" s="1"/>
    </row>
    <row r="77" spans="1:11" ht="32.1" customHeight="1">
      <c r="A77" s="1">
        <v>23</v>
      </c>
      <c r="B77" s="7">
        <v>46296</v>
      </c>
      <c r="C77" s="1">
        <v>2</v>
      </c>
      <c r="D77" s="1" t="s">
        <v>652</v>
      </c>
      <c r="E77" s="1" t="s">
        <v>110</v>
      </c>
      <c r="F77" s="8" t="s">
        <v>653</v>
      </c>
      <c r="G77" s="1">
        <v>0.5</v>
      </c>
      <c r="H77" s="1" t="str">
        <f>IFERROR(_xlfn.SINGLE(_xlfn.XLOOKUP(D77, 'Task Plan'!$A:$A, 'Task Plan'!$K:$K)), "")</f>
        <v>Not Started</v>
      </c>
      <c r="I77" s="6">
        <f>IFERROR(_xlfn.SINGLE(_xlfn.XLOOKUP(D77, 'Task Plan'!$A:$A, 'Task Plan'!$L:$L)), 0)</f>
        <v>0</v>
      </c>
      <c r="J77" s="1">
        <f>SUMIF($A:$A,A77,$G:$G)</f>
        <v>2</v>
      </c>
      <c r="K77" s="1"/>
    </row>
    <row r="78" spans="1:11" ht="32.1" customHeight="1">
      <c r="A78" s="1">
        <v>23</v>
      </c>
      <c r="B78" s="7">
        <v>46296</v>
      </c>
      <c r="C78" s="1">
        <v>2</v>
      </c>
      <c r="D78" s="1" t="s">
        <v>655</v>
      </c>
      <c r="E78" s="1" t="s">
        <v>110</v>
      </c>
      <c r="F78" s="8" t="s">
        <v>656</v>
      </c>
      <c r="G78" s="1">
        <v>0.5</v>
      </c>
      <c r="H78" s="1" t="str">
        <f>IFERROR(_xlfn.SINGLE(_xlfn.XLOOKUP(D78, 'Task Plan'!$A:$A, 'Task Plan'!$K:$K)), "")</f>
        <v>Not Started</v>
      </c>
      <c r="I78" s="6">
        <f>IFERROR(_xlfn.SINGLE(_xlfn.XLOOKUP(D78, 'Task Plan'!$A:$A, 'Task Plan'!$L:$L)), 0)</f>
        <v>0</v>
      </c>
      <c r="J78" s="1">
        <f>SUMIF($A:$A,A78,$G:$G)</f>
        <v>2</v>
      </c>
      <c r="K78" s="1"/>
    </row>
    <row r="79" spans="1:11" ht="32.1" customHeight="1">
      <c r="A79" s="1">
        <v>23</v>
      </c>
      <c r="B79" s="7">
        <v>46296</v>
      </c>
      <c r="C79" s="1">
        <v>2</v>
      </c>
      <c r="D79" s="1" t="s">
        <v>658</v>
      </c>
      <c r="E79" s="1" t="s">
        <v>110</v>
      </c>
      <c r="F79" s="8" t="s">
        <v>659</v>
      </c>
      <c r="G79" s="1">
        <v>0.5</v>
      </c>
      <c r="H79" s="1" t="str">
        <f>IFERROR(_xlfn.SINGLE(_xlfn.XLOOKUP(D79, 'Task Plan'!$A:$A, 'Task Plan'!$K:$K)), "")</f>
        <v>Not Started</v>
      </c>
      <c r="I79" s="6">
        <f>IFERROR(_xlfn.SINGLE(_xlfn.XLOOKUP(D79, 'Task Plan'!$A:$A, 'Task Plan'!$L:$L)), 0)</f>
        <v>0</v>
      </c>
      <c r="J79" s="1">
        <f>SUMIF($A:$A,A79,$G:$G)</f>
        <v>2</v>
      </c>
      <c r="K79" s="1"/>
    </row>
    <row r="80" spans="1:11" ht="32.1" customHeight="1">
      <c r="A80" s="1">
        <v>24</v>
      </c>
      <c r="B80" s="7">
        <v>46297</v>
      </c>
      <c r="C80" s="1">
        <v>2</v>
      </c>
      <c r="D80" s="1" t="s">
        <v>658</v>
      </c>
      <c r="E80" s="1" t="s">
        <v>110</v>
      </c>
      <c r="F80" s="8" t="s">
        <v>659</v>
      </c>
      <c r="G80" s="1">
        <v>0.5</v>
      </c>
      <c r="H80" s="1" t="str">
        <f>IFERROR(_xlfn.SINGLE(_xlfn.XLOOKUP(D80, 'Task Plan'!$A:$A, 'Task Plan'!$K:$K)), "")</f>
        <v>Not Started</v>
      </c>
      <c r="I80" s="6">
        <f>IFERROR(_xlfn.SINGLE(_xlfn.XLOOKUP(D80, 'Task Plan'!$A:$A, 'Task Plan'!$L:$L)), 0)</f>
        <v>0</v>
      </c>
      <c r="J80" s="1">
        <f>SUMIF($A:$A,A80,$G:$G)</f>
        <v>2</v>
      </c>
      <c r="K80" s="1"/>
    </row>
    <row r="81" spans="1:11" ht="32.1" customHeight="1">
      <c r="A81" s="1">
        <v>24</v>
      </c>
      <c r="B81" s="7">
        <v>46297</v>
      </c>
      <c r="C81" s="1">
        <v>2</v>
      </c>
      <c r="D81" s="1" t="s">
        <v>661</v>
      </c>
      <c r="E81" s="1" t="s">
        <v>110</v>
      </c>
      <c r="F81" s="8" t="s">
        <v>662</v>
      </c>
      <c r="G81" s="1">
        <v>1</v>
      </c>
      <c r="H81" s="1" t="str">
        <f>IFERROR(_xlfn.SINGLE(_xlfn.XLOOKUP(D81, 'Task Plan'!$A:$A, 'Task Plan'!$K:$K)), "")</f>
        <v>Not Started</v>
      </c>
      <c r="I81" s="6">
        <f>IFERROR(_xlfn.SINGLE(_xlfn.XLOOKUP(D81, 'Task Plan'!$A:$A, 'Task Plan'!$L:$L)), 0)</f>
        <v>0</v>
      </c>
      <c r="J81" s="1">
        <f>SUMIF($A:$A,A81,$G:$G)</f>
        <v>2</v>
      </c>
      <c r="K81" s="1"/>
    </row>
    <row r="82" spans="1:11" ht="32.1" customHeight="1">
      <c r="A82" s="1">
        <v>24</v>
      </c>
      <c r="B82" s="7">
        <v>46297</v>
      </c>
      <c r="C82" s="1">
        <v>2</v>
      </c>
      <c r="D82" s="1" t="s">
        <v>663</v>
      </c>
      <c r="E82" s="1" t="s">
        <v>110</v>
      </c>
      <c r="F82" s="8" t="s">
        <v>664</v>
      </c>
      <c r="G82" s="1">
        <v>0.5</v>
      </c>
      <c r="H82" s="1" t="str">
        <f>IFERROR(_xlfn.SINGLE(_xlfn.XLOOKUP(D82, 'Task Plan'!$A:$A, 'Task Plan'!$K:$K)), "")</f>
        <v>Not Started</v>
      </c>
      <c r="I82" s="6">
        <f>IFERROR(_xlfn.SINGLE(_xlfn.XLOOKUP(D82, 'Task Plan'!$A:$A, 'Task Plan'!$L:$L)), 0)</f>
        <v>0</v>
      </c>
      <c r="J82" s="1">
        <f>SUMIF($A:$A,A82,$G:$G)</f>
        <v>2</v>
      </c>
      <c r="K82" s="1"/>
    </row>
    <row r="83" spans="1:11" ht="32.1" customHeight="1">
      <c r="A83" s="1">
        <v>25</v>
      </c>
      <c r="B83" s="7">
        <v>46300</v>
      </c>
      <c r="C83" s="1">
        <v>2.5</v>
      </c>
      <c r="D83" s="1" t="s">
        <v>663</v>
      </c>
      <c r="E83" s="1" t="s">
        <v>110</v>
      </c>
      <c r="F83" s="8" t="s">
        <v>664</v>
      </c>
      <c r="G83" s="1">
        <v>0.5</v>
      </c>
      <c r="H83" s="1" t="str">
        <f>IFERROR(_xlfn.SINGLE(_xlfn.XLOOKUP(D83, 'Task Plan'!$A:$A, 'Task Plan'!$K:$K)), "")</f>
        <v>Not Started</v>
      </c>
      <c r="I83" s="6">
        <f>IFERROR(_xlfn.SINGLE(_xlfn.XLOOKUP(D83, 'Task Plan'!$A:$A, 'Task Plan'!$L:$L)), 0)</f>
        <v>0</v>
      </c>
      <c r="J83" s="1">
        <f>SUMIF($A:$A,A83,$G:$G)</f>
        <v>2.5</v>
      </c>
      <c r="K83" s="1"/>
    </row>
    <row r="84" spans="1:11" ht="32.1" customHeight="1">
      <c r="A84" s="1">
        <v>25</v>
      </c>
      <c r="B84" s="7">
        <v>46300</v>
      </c>
      <c r="C84" s="1">
        <v>2.5</v>
      </c>
      <c r="D84" s="1" t="s">
        <v>666</v>
      </c>
      <c r="E84" s="1" t="s">
        <v>110</v>
      </c>
      <c r="F84" s="8" t="s">
        <v>667</v>
      </c>
      <c r="G84" s="1">
        <v>0.5</v>
      </c>
      <c r="H84" s="1" t="str">
        <f>IFERROR(_xlfn.SINGLE(_xlfn.XLOOKUP(D84, 'Task Plan'!$A:$A, 'Task Plan'!$K:$K)), "")</f>
        <v>Not Started</v>
      </c>
      <c r="I84" s="6">
        <f>IFERROR(_xlfn.SINGLE(_xlfn.XLOOKUP(D84, 'Task Plan'!$A:$A, 'Task Plan'!$L:$L)), 0)</f>
        <v>0</v>
      </c>
      <c r="J84" s="1">
        <f>SUMIF($A:$A,A84,$G:$G)</f>
        <v>2.5</v>
      </c>
      <c r="K84" s="1"/>
    </row>
    <row r="85" spans="1:11" ht="32.1" customHeight="1">
      <c r="A85" s="1">
        <v>25</v>
      </c>
      <c r="B85" s="7">
        <v>46300</v>
      </c>
      <c r="C85" s="1">
        <v>2.5</v>
      </c>
      <c r="D85" s="1" t="s">
        <v>669</v>
      </c>
      <c r="E85" s="1" t="s">
        <v>110</v>
      </c>
      <c r="F85" s="8" t="s">
        <v>670</v>
      </c>
      <c r="G85" s="1">
        <v>0.5</v>
      </c>
      <c r="H85" s="1" t="str">
        <f>IFERROR(_xlfn.SINGLE(_xlfn.XLOOKUP(D85, 'Task Plan'!$A:$A, 'Task Plan'!$K:$K)), "")</f>
        <v>Not Started</v>
      </c>
      <c r="I85" s="6">
        <f>IFERROR(_xlfn.SINGLE(_xlfn.XLOOKUP(D85, 'Task Plan'!$A:$A, 'Task Plan'!$L:$L)), 0)</f>
        <v>0</v>
      </c>
      <c r="J85" s="1">
        <f>SUMIF($A:$A,A85,$G:$G)</f>
        <v>2.5</v>
      </c>
      <c r="K85" s="1"/>
    </row>
    <row r="86" spans="1:11" ht="32.1" customHeight="1">
      <c r="A86" s="1">
        <v>25</v>
      </c>
      <c r="B86" s="7">
        <v>46300</v>
      </c>
      <c r="C86" s="1">
        <v>2.5</v>
      </c>
      <c r="D86" s="1" t="s">
        <v>672</v>
      </c>
      <c r="E86" s="1" t="s">
        <v>110</v>
      </c>
      <c r="F86" s="8" t="s">
        <v>673</v>
      </c>
      <c r="G86" s="1">
        <v>1</v>
      </c>
      <c r="H86" s="1" t="str">
        <f>IFERROR(_xlfn.SINGLE(_xlfn.XLOOKUP(D86, 'Task Plan'!$A:$A, 'Task Plan'!$K:$K)), "")</f>
        <v>Not Started</v>
      </c>
      <c r="I86" s="6">
        <f>IFERROR(_xlfn.SINGLE(_xlfn.XLOOKUP(D86, 'Task Plan'!$A:$A, 'Task Plan'!$L:$L)), 0)</f>
        <v>0</v>
      </c>
      <c r="J86" s="1">
        <f>SUMIF($A:$A,A86,$G:$G)</f>
        <v>2.5</v>
      </c>
      <c r="K86" s="1"/>
    </row>
    <row r="87" spans="1:11" ht="32.1" customHeight="1">
      <c r="A87" s="1">
        <v>26</v>
      </c>
      <c r="B87" s="7">
        <v>46301</v>
      </c>
      <c r="C87" s="1">
        <v>3</v>
      </c>
      <c r="D87" s="1" t="s">
        <v>675</v>
      </c>
      <c r="E87" s="1" t="s">
        <v>110</v>
      </c>
      <c r="F87" s="8" t="s">
        <v>676</v>
      </c>
      <c r="G87" s="1">
        <v>1</v>
      </c>
      <c r="H87" s="1" t="str">
        <f>IFERROR(_xlfn.SINGLE(_xlfn.XLOOKUP(D87, 'Task Plan'!$A:$A, 'Task Plan'!$K:$K)), "")</f>
        <v>Not Started</v>
      </c>
      <c r="I87" s="6">
        <f>IFERROR(_xlfn.SINGLE(_xlfn.XLOOKUP(D87, 'Task Plan'!$A:$A, 'Task Plan'!$L:$L)), 0)</f>
        <v>0</v>
      </c>
      <c r="J87" s="1">
        <f>SUMIF($A:$A,A87,$G:$G)</f>
        <v>3</v>
      </c>
      <c r="K87" s="1"/>
    </row>
    <row r="88" spans="1:11" ht="32.1" customHeight="1">
      <c r="A88" s="1">
        <v>26</v>
      </c>
      <c r="B88" s="7">
        <v>46301</v>
      </c>
      <c r="C88" s="1">
        <v>3</v>
      </c>
      <c r="D88" s="1" t="s">
        <v>677</v>
      </c>
      <c r="E88" s="1" t="s">
        <v>110</v>
      </c>
      <c r="F88" s="8" t="s">
        <v>678</v>
      </c>
      <c r="G88" s="1">
        <v>1</v>
      </c>
      <c r="H88" s="1" t="str">
        <f>IFERROR(_xlfn.SINGLE(_xlfn.XLOOKUP(D88, 'Task Plan'!$A:$A, 'Task Plan'!$K:$K)), "")</f>
        <v>Not Started</v>
      </c>
      <c r="I88" s="6">
        <f>IFERROR(_xlfn.SINGLE(_xlfn.XLOOKUP(D88, 'Task Plan'!$A:$A, 'Task Plan'!$L:$L)), 0)</f>
        <v>0</v>
      </c>
      <c r="J88" s="1">
        <f>SUMIF($A:$A,A88,$G:$G)</f>
        <v>3</v>
      </c>
      <c r="K88" s="1"/>
    </row>
    <row r="89" spans="1:11" ht="32.1" customHeight="1">
      <c r="A89" s="1">
        <v>26</v>
      </c>
      <c r="B89" s="7">
        <v>46301</v>
      </c>
      <c r="C89" s="1">
        <v>3</v>
      </c>
      <c r="D89" s="1" t="s">
        <v>680</v>
      </c>
      <c r="E89" s="1" t="s">
        <v>110</v>
      </c>
      <c r="F89" s="8" t="s">
        <v>681</v>
      </c>
      <c r="G89" s="1">
        <v>0.5</v>
      </c>
      <c r="H89" s="1" t="str">
        <f>IFERROR(_xlfn.SINGLE(_xlfn.XLOOKUP(D89, 'Task Plan'!$A:$A, 'Task Plan'!$K:$K)), "")</f>
        <v>Not Started</v>
      </c>
      <c r="I89" s="6">
        <f>IFERROR(_xlfn.SINGLE(_xlfn.XLOOKUP(D89, 'Task Plan'!$A:$A, 'Task Plan'!$L:$L)), 0)</f>
        <v>0</v>
      </c>
      <c r="J89" s="1">
        <f>SUMIF($A:$A,A89,$G:$G)</f>
        <v>3</v>
      </c>
      <c r="K89" s="1"/>
    </row>
    <row r="90" spans="1:11" ht="32.1" customHeight="1">
      <c r="A90" s="1">
        <v>26</v>
      </c>
      <c r="B90" s="7">
        <v>46301</v>
      </c>
      <c r="C90" s="1">
        <v>3</v>
      </c>
      <c r="D90" s="1" t="s">
        <v>683</v>
      </c>
      <c r="E90" s="1" t="s">
        <v>110</v>
      </c>
      <c r="F90" s="8" t="s">
        <v>684</v>
      </c>
      <c r="G90" s="1">
        <v>0.5</v>
      </c>
      <c r="H90" s="1" t="str">
        <f>IFERROR(_xlfn.SINGLE(_xlfn.XLOOKUP(D90, 'Task Plan'!$A:$A, 'Task Plan'!$K:$K)), "")</f>
        <v>Not Started</v>
      </c>
      <c r="I90" s="6">
        <f>IFERROR(_xlfn.SINGLE(_xlfn.XLOOKUP(D90, 'Task Plan'!$A:$A, 'Task Plan'!$L:$L)), 0)</f>
        <v>0</v>
      </c>
      <c r="J90" s="1">
        <f>SUMIF($A:$A,A90,$G:$G)</f>
        <v>3</v>
      </c>
      <c r="K90" s="1"/>
    </row>
    <row r="91" spans="1:11" ht="32.1" customHeight="1">
      <c r="A91" s="1">
        <v>27</v>
      </c>
      <c r="B91" s="7">
        <v>46302</v>
      </c>
      <c r="C91" s="1">
        <v>3</v>
      </c>
      <c r="D91" s="1" t="s">
        <v>683</v>
      </c>
      <c r="E91" s="1" t="s">
        <v>110</v>
      </c>
      <c r="F91" s="8" t="s">
        <v>684</v>
      </c>
      <c r="G91" s="1">
        <v>0.5</v>
      </c>
      <c r="H91" s="1" t="str">
        <f>IFERROR(_xlfn.SINGLE(_xlfn.XLOOKUP(D91, 'Task Plan'!$A:$A, 'Task Plan'!$K:$K)), "")</f>
        <v>Not Started</v>
      </c>
      <c r="I91" s="6">
        <f>IFERROR(_xlfn.SINGLE(_xlfn.XLOOKUP(D91, 'Task Plan'!$A:$A, 'Task Plan'!$L:$L)), 0)</f>
        <v>0</v>
      </c>
      <c r="J91" s="1">
        <f>SUMIF($A:$A,A91,$G:$G)</f>
        <v>3</v>
      </c>
      <c r="K91" s="1"/>
    </row>
    <row r="92" spans="1:11" ht="32.1" customHeight="1">
      <c r="A92" s="1">
        <v>27</v>
      </c>
      <c r="B92" s="7">
        <v>46302</v>
      </c>
      <c r="C92" s="1">
        <v>3</v>
      </c>
      <c r="D92" s="1" t="s">
        <v>686</v>
      </c>
      <c r="E92" s="1" t="s">
        <v>110</v>
      </c>
      <c r="F92" s="8" t="s">
        <v>687</v>
      </c>
      <c r="G92" s="1">
        <v>1</v>
      </c>
      <c r="H92" s="1" t="str">
        <f>IFERROR(_xlfn.SINGLE(_xlfn.XLOOKUP(D92, 'Task Plan'!$A:$A, 'Task Plan'!$K:$K)), "")</f>
        <v>Not Started</v>
      </c>
      <c r="I92" s="6">
        <f>IFERROR(_xlfn.SINGLE(_xlfn.XLOOKUP(D92, 'Task Plan'!$A:$A, 'Task Plan'!$L:$L)), 0)</f>
        <v>0</v>
      </c>
      <c r="J92" s="1">
        <f>SUMIF($A:$A,A92,$G:$G)</f>
        <v>3</v>
      </c>
      <c r="K92" s="1"/>
    </row>
    <row r="93" spans="1:11" ht="32.1" customHeight="1">
      <c r="A93" s="1">
        <v>27</v>
      </c>
      <c r="B93" s="7">
        <v>46302</v>
      </c>
      <c r="C93" s="1">
        <v>3</v>
      </c>
      <c r="D93" s="1" t="s">
        <v>689</v>
      </c>
      <c r="E93" s="1" t="s">
        <v>110</v>
      </c>
      <c r="F93" s="8" t="s">
        <v>690</v>
      </c>
      <c r="G93" s="1">
        <v>1.5</v>
      </c>
      <c r="H93" s="1" t="str">
        <f>IFERROR(_xlfn.SINGLE(_xlfn.XLOOKUP(D93, 'Task Plan'!$A:$A, 'Task Plan'!$K:$K)), "")</f>
        <v>Not Started</v>
      </c>
      <c r="I93" s="6">
        <f>IFERROR(_xlfn.SINGLE(_xlfn.XLOOKUP(D93, 'Task Plan'!$A:$A, 'Task Plan'!$L:$L)), 0)</f>
        <v>0</v>
      </c>
      <c r="J93" s="1">
        <f>SUMIF($A:$A,A93,$G:$G)</f>
        <v>3</v>
      </c>
      <c r="K93" s="1"/>
    </row>
    <row r="94" spans="1:11" ht="32.1" customHeight="1">
      <c r="A94" s="1">
        <v>28</v>
      </c>
      <c r="B94" s="7">
        <v>46303</v>
      </c>
      <c r="C94" s="1">
        <v>2</v>
      </c>
      <c r="D94" s="1" t="s">
        <v>691</v>
      </c>
      <c r="E94" s="1" t="s">
        <v>110</v>
      </c>
      <c r="F94" s="8" t="s">
        <v>692</v>
      </c>
      <c r="G94" s="1">
        <v>1</v>
      </c>
      <c r="H94" s="1" t="str">
        <f>IFERROR(_xlfn.SINGLE(_xlfn.XLOOKUP(D94, 'Task Plan'!$A:$A, 'Task Plan'!$K:$K)), "")</f>
        <v>Not Started</v>
      </c>
      <c r="I94" s="6">
        <f>IFERROR(_xlfn.SINGLE(_xlfn.XLOOKUP(D94, 'Task Plan'!$A:$A, 'Task Plan'!$L:$L)), 0)</f>
        <v>0</v>
      </c>
      <c r="J94" s="1">
        <f>SUMIF($A:$A,A94,$G:$G)</f>
        <v>2</v>
      </c>
      <c r="K94" s="1"/>
    </row>
    <row r="95" spans="1:11" ht="32.1" customHeight="1">
      <c r="A95" s="1">
        <v>28</v>
      </c>
      <c r="B95" s="7">
        <v>46303</v>
      </c>
      <c r="C95" s="1">
        <v>2</v>
      </c>
      <c r="D95" s="1" t="s">
        <v>694</v>
      </c>
      <c r="E95" s="1" t="s">
        <v>110</v>
      </c>
      <c r="F95" s="8" t="s">
        <v>695</v>
      </c>
      <c r="G95" s="1">
        <v>0.5</v>
      </c>
      <c r="H95" s="1" t="str">
        <f>IFERROR(_xlfn.SINGLE(_xlfn.XLOOKUP(D95, 'Task Plan'!$A:$A, 'Task Plan'!$K:$K)), "")</f>
        <v>Not Started</v>
      </c>
      <c r="I95" s="6">
        <f>IFERROR(_xlfn.SINGLE(_xlfn.XLOOKUP(D95, 'Task Plan'!$A:$A, 'Task Plan'!$L:$L)), 0)</f>
        <v>0</v>
      </c>
      <c r="J95" s="1">
        <f>SUMIF($A:$A,A95,$G:$G)</f>
        <v>2</v>
      </c>
      <c r="K95" s="1"/>
    </row>
    <row r="96" spans="1:11" ht="32.1" customHeight="1">
      <c r="A96" s="1">
        <v>28</v>
      </c>
      <c r="B96" s="7">
        <v>46303</v>
      </c>
      <c r="C96" s="1">
        <v>2</v>
      </c>
      <c r="D96" s="1" t="s">
        <v>697</v>
      </c>
      <c r="E96" s="1" t="s">
        <v>110</v>
      </c>
      <c r="F96" s="8" t="s">
        <v>698</v>
      </c>
      <c r="G96" s="1">
        <v>0.5</v>
      </c>
      <c r="H96" s="1" t="str">
        <f>IFERROR(_xlfn.SINGLE(_xlfn.XLOOKUP(D96, 'Task Plan'!$A:$A, 'Task Plan'!$K:$K)), "")</f>
        <v>Not Started</v>
      </c>
      <c r="I96" s="6">
        <f>IFERROR(_xlfn.SINGLE(_xlfn.XLOOKUP(D96, 'Task Plan'!$A:$A, 'Task Plan'!$L:$L)), 0)</f>
        <v>0</v>
      </c>
      <c r="J96" s="1">
        <f>SUMIF($A:$A,A96,$G:$G)</f>
        <v>2</v>
      </c>
      <c r="K96" s="1"/>
    </row>
    <row r="97" spans="1:11" ht="32.1" customHeight="1">
      <c r="A97" s="1">
        <v>29</v>
      </c>
      <c r="B97" s="7">
        <v>46304</v>
      </c>
      <c r="C97" s="1">
        <v>2</v>
      </c>
      <c r="D97" s="1" t="s">
        <v>700</v>
      </c>
      <c r="E97" s="1" t="s">
        <v>110</v>
      </c>
      <c r="F97" s="8" t="s">
        <v>701</v>
      </c>
      <c r="G97" s="1">
        <v>1</v>
      </c>
      <c r="H97" s="1" t="str">
        <f>IFERROR(_xlfn.SINGLE(_xlfn.XLOOKUP(D97, 'Task Plan'!$A:$A, 'Task Plan'!$K:$K)), "")</f>
        <v>Not Started</v>
      </c>
      <c r="I97" s="6">
        <f>IFERROR(_xlfn.SINGLE(_xlfn.XLOOKUP(D97, 'Task Plan'!$A:$A, 'Task Plan'!$L:$L)), 0)</f>
        <v>0</v>
      </c>
      <c r="J97" s="1">
        <f>SUMIF($A:$A,A97,$G:$G)</f>
        <v>2</v>
      </c>
      <c r="K97" s="1"/>
    </row>
    <row r="98" spans="1:11" ht="32.1" customHeight="1">
      <c r="A98" s="1">
        <v>29</v>
      </c>
      <c r="B98" s="7">
        <v>46304</v>
      </c>
      <c r="C98" s="1">
        <v>2</v>
      </c>
      <c r="D98" s="1" t="s">
        <v>703</v>
      </c>
      <c r="E98" s="1" t="s">
        <v>110</v>
      </c>
      <c r="F98" s="8" t="s">
        <v>704</v>
      </c>
      <c r="G98" s="1">
        <v>1</v>
      </c>
      <c r="H98" s="1" t="str">
        <f>IFERROR(_xlfn.SINGLE(_xlfn.XLOOKUP(D98, 'Task Plan'!$A:$A, 'Task Plan'!$K:$K)), "")</f>
        <v>Not Started</v>
      </c>
      <c r="I98" s="6">
        <f>IFERROR(_xlfn.SINGLE(_xlfn.XLOOKUP(D98, 'Task Plan'!$A:$A, 'Task Plan'!$L:$L)), 0)</f>
        <v>0</v>
      </c>
      <c r="J98" s="1">
        <f>SUMIF($A:$A,A98,$G:$G)</f>
        <v>2</v>
      </c>
      <c r="K98" s="1"/>
    </row>
    <row r="99" spans="1:11" ht="32.1" customHeight="1">
      <c r="A99" s="1">
        <v>30</v>
      </c>
      <c r="B99" s="7">
        <v>46307</v>
      </c>
      <c r="C99" s="1">
        <v>3</v>
      </c>
      <c r="D99" s="1" t="s">
        <v>703</v>
      </c>
      <c r="E99" s="1" t="s">
        <v>110</v>
      </c>
      <c r="F99" s="8" t="s">
        <v>704</v>
      </c>
      <c r="G99" s="1">
        <v>0.5</v>
      </c>
      <c r="H99" s="1" t="str">
        <f>IFERROR(_xlfn.SINGLE(_xlfn.XLOOKUP(D99, 'Task Plan'!$A:$A, 'Task Plan'!$K:$K)), "")</f>
        <v>Not Started</v>
      </c>
      <c r="I99" s="6">
        <f>IFERROR(_xlfn.SINGLE(_xlfn.XLOOKUP(D99, 'Task Plan'!$A:$A, 'Task Plan'!$L:$L)), 0)</f>
        <v>0</v>
      </c>
      <c r="J99" s="1">
        <f>SUMIF($A:$A,A99,$G:$G)</f>
        <v>3</v>
      </c>
      <c r="K99" s="1"/>
    </row>
    <row r="100" spans="1:11" ht="32.1" customHeight="1">
      <c r="A100" s="1">
        <v>30</v>
      </c>
      <c r="B100" s="7">
        <v>46307</v>
      </c>
      <c r="C100" s="1">
        <v>3</v>
      </c>
      <c r="D100" s="1" t="s">
        <v>705</v>
      </c>
      <c r="E100" s="1" t="s">
        <v>110</v>
      </c>
      <c r="F100" s="8" t="s">
        <v>706</v>
      </c>
      <c r="G100" s="1">
        <v>1</v>
      </c>
      <c r="H100" s="1" t="str">
        <f>IFERROR(_xlfn.SINGLE(_xlfn.XLOOKUP(D100, 'Task Plan'!$A:$A, 'Task Plan'!$K:$K)), "")</f>
        <v>Not Started</v>
      </c>
      <c r="I100" s="6">
        <f>IFERROR(_xlfn.SINGLE(_xlfn.XLOOKUP(D100, 'Task Plan'!$A:$A, 'Task Plan'!$L:$L)), 0)</f>
        <v>0</v>
      </c>
      <c r="J100" s="1">
        <f>SUMIF($A:$A,A100,$G:$G)</f>
        <v>3</v>
      </c>
      <c r="K100" s="1"/>
    </row>
    <row r="101" spans="1:11" ht="32.1" customHeight="1">
      <c r="A101" s="1">
        <v>30</v>
      </c>
      <c r="B101" s="7">
        <v>46307</v>
      </c>
      <c r="C101" s="1">
        <v>3</v>
      </c>
      <c r="D101" s="1" t="s">
        <v>708</v>
      </c>
      <c r="E101" s="1" t="s">
        <v>110</v>
      </c>
      <c r="F101" s="8" t="s">
        <v>709</v>
      </c>
      <c r="G101" s="1">
        <v>0.5</v>
      </c>
      <c r="H101" s="1" t="str">
        <f>IFERROR(_xlfn.SINGLE(_xlfn.XLOOKUP(D101, 'Task Plan'!$A:$A, 'Task Plan'!$K:$K)), "")</f>
        <v>Not Started</v>
      </c>
      <c r="I101" s="6">
        <f>IFERROR(_xlfn.SINGLE(_xlfn.XLOOKUP(D101, 'Task Plan'!$A:$A, 'Task Plan'!$L:$L)), 0)</f>
        <v>0</v>
      </c>
      <c r="J101" s="1">
        <f>SUMIF($A:$A,A101,$G:$G)</f>
        <v>3</v>
      </c>
      <c r="K101" s="1"/>
    </row>
    <row r="102" spans="1:11" ht="32.1" customHeight="1">
      <c r="A102" s="1">
        <v>30</v>
      </c>
      <c r="B102" s="7">
        <v>46307</v>
      </c>
      <c r="C102" s="1">
        <v>3</v>
      </c>
      <c r="D102" s="1" t="s">
        <v>711</v>
      </c>
      <c r="E102" s="1" t="s">
        <v>110</v>
      </c>
      <c r="F102" s="8" t="s">
        <v>712</v>
      </c>
      <c r="G102" s="1">
        <v>1</v>
      </c>
      <c r="H102" s="1" t="str">
        <f>IFERROR(_xlfn.SINGLE(_xlfn.XLOOKUP(D102, 'Task Plan'!$A:$A, 'Task Plan'!$K:$K)), "")</f>
        <v>Not Started</v>
      </c>
      <c r="I102" s="6">
        <f>IFERROR(_xlfn.SINGLE(_xlfn.XLOOKUP(D102, 'Task Plan'!$A:$A, 'Task Plan'!$L:$L)), 0)</f>
        <v>0</v>
      </c>
      <c r="J102" s="1">
        <f>SUMIF($A:$A,A102,$G:$G)</f>
        <v>3</v>
      </c>
      <c r="K102" s="1"/>
    </row>
    <row r="103" spans="1:11" ht="32.1" customHeight="1">
      <c r="A103" s="1">
        <v>31</v>
      </c>
      <c r="B103" s="7">
        <v>46308</v>
      </c>
      <c r="C103" s="1">
        <v>2</v>
      </c>
      <c r="D103" s="1" t="s">
        <v>714</v>
      </c>
      <c r="E103" s="1" t="s">
        <v>110</v>
      </c>
      <c r="F103" s="8" t="s">
        <v>715</v>
      </c>
      <c r="G103" s="1">
        <v>1</v>
      </c>
      <c r="H103" s="1" t="str">
        <f>IFERROR(_xlfn.SINGLE(_xlfn.XLOOKUP(D103, 'Task Plan'!$A:$A, 'Task Plan'!$K:$K)), "")</f>
        <v>Not Started</v>
      </c>
      <c r="I103" s="6">
        <f>IFERROR(_xlfn.SINGLE(_xlfn.XLOOKUP(D103, 'Task Plan'!$A:$A, 'Task Plan'!$L:$L)), 0)</f>
        <v>0</v>
      </c>
      <c r="J103" s="1">
        <f>SUMIF($A:$A,A103,$G:$G)</f>
        <v>2</v>
      </c>
      <c r="K103" s="1"/>
    </row>
    <row r="104" spans="1:11" ht="32.1" customHeight="1">
      <c r="A104" s="1">
        <v>31</v>
      </c>
      <c r="B104" s="7">
        <v>46308</v>
      </c>
      <c r="C104" s="1">
        <v>2</v>
      </c>
      <c r="D104" s="1" t="s">
        <v>717</v>
      </c>
      <c r="E104" s="1" t="s">
        <v>110</v>
      </c>
      <c r="F104" s="8" t="s">
        <v>718</v>
      </c>
      <c r="G104" s="1">
        <v>1</v>
      </c>
      <c r="H104" s="1" t="str">
        <f>IFERROR(_xlfn.SINGLE(_xlfn.XLOOKUP(D104, 'Task Plan'!$A:$A, 'Task Plan'!$K:$K)), "")</f>
        <v>Not Started</v>
      </c>
      <c r="I104" s="6">
        <f>IFERROR(_xlfn.SINGLE(_xlfn.XLOOKUP(D104, 'Task Plan'!$A:$A, 'Task Plan'!$L:$L)), 0)</f>
        <v>0</v>
      </c>
      <c r="J104" s="1">
        <f>SUMIF($A:$A,A104,$G:$G)</f>
        <v>2</v>
      </c>
      <c r="K104" s="1"/>
    </row>
    <row r="105" spans="1:11" ht="32.1" customHeight="1">
      <c r="A105" s="1">
        <v>32</v>
      </c>
      <c r="B105" s="7">
        <v>46309</v>
      </c>
      <c r="C105" s="1">
        <v>3</v>
      </c>
      <c r="D105" s="1" t="s">
        <v>717</v>
      </c>
      <c r="E105" s="1" t="s">
        <v>110</v>
      </c>
      <c r="F105" s="8" t="s">
        <v>718</v>
      </c>
      <c r="G105" s="1">
        <v>1</v>
      </c>
      <c r="H105" s="1" t="str">
        <f>IFERROR(_xlfn.SINGLE(_xlfn.XLOOKUP(D105, 'Task Plan'!$A:$A, 'Task Plan'!$K:$K)), "")</f>
        <v>Not Started</v>
      </c>
      <c r="I105" s="6">
        <f>IFERROR(_xlfn.SINGLE(_xlfn.XLOOKUP(D105, 'Task Plan'!$A:$A, 'Task Plan'!$L:$L)), 0)</f>
        <v>0</v>
      </c>
      <c r="J105" s="1">
        <f>SUMIF($A:$A,A105,$G:$G)</f>
        <v>3</v>
      </c>
      <c r="K105" s="1"/>
    </row>
    <row r="106" spans="1:11" ht="32.1" customHeight="1">
      <c r="A106" s="1">
        <v>32</v>
      </c>
      <c r="B106" s="7">
        <v>46309</v>
      </c>
      <c r="C106" s="1">
        <v>3</v>
      </c>
      <c r="D106" s="1" t="s">
        <v>719</v>
      </c>
      <c r="E106" s="1" t="s">
        <v>110</v>
      </c>
      <c r="F106" s="8" t="s">
        <v>720</v>
      </c>
      <c r="G106" s="1">
        <v>1</v>
      </c>
      <c r="H106" s="1" t="str">
        <f>IFERROR(_xlfn.SINGLE(_xlfn.XLOOKUP(D106, 'Task Plan'!$A:$A, 'Task Plan'!$K:$K)), "")</f>
        <v>Not Started</v>
      </c>
      <c r="I106" s="6">
        <f>IFERROR(_xlfn.SINGLE(_xlfn.XLOOKUP(D106, 'Task Plan'!$A:$A, 'Task Plan'!$L:$L)), 0)</f>
        <v>0</v>
      </c>
      <c r="J106" s="1">
        <f>SUMIF($A:$A,A106,$G:$G)</f>
        <v>3</v>
      </c>
      <c r="K106" s="1"/>
    </row>
    <row r="107" spans="1:11" ht="32.1" customHeight="1">
      <c r="A107" s="1">
        <v>32</v>
      </c>
      <c r="B107" s="7">
        <v>46309</v>
      </c>
      <c r="C107" s="1">
        <v>3</v>
      </c>
      <c r="D107" s="1" t="s">
        <v>722</v>
      </c>
      <c r="E107" s="1" t="s">
        <v>110</v>
      </c>
      <c r="F107" s="8" t="s">
        <v>723</v>
      </c>
      <c r="G107" s="1">
        <v>0.5</v>
      </c>
      <c r="H107" s="1" t="str">
        <f>IFERROR(_xlfn.SINGLE(_xlfn.XLOOKUP(D107, 'Task Plan'!$A:$A, 'Task Plan'!$K:$K)), "")</f>
        <v>Not Started</v>
      </c>
      <c r="I107" s="6">
        <f>IFERROR(_xlfn.SINGLE(_xlfn.XLOOKUP(D107, 'Task Plan'!$A:$A, 'Task Plan'!$L:$L)), 0)</f>
        <v>0</v>
      </c>
      <c r="J107" s="1">
        <f>SUMIF($A:$A,A107,$G:$G)</f>
        <v>3</v>
      </c>
      <c r="K107" s="1"/>
    </row>
    <row r="108" spans="1:11" ht="32.1" customHeight="1">
      <c r="A108" s="1">
        <v>32</v>
      </c>
      <c r="B108" s="7">
        <v>46309</v>
      </c>
      <c r="C108" s="1">
        <v>3</v>
      </c>
      <c r="D108" s="1" t="s">
        <v>725</v>
      </c>
      <c r="E108" s="1" t="s">
        <v>153</v>
      </c>
      <c r="F108" s="8" t="s">
        <v>726</v>
      </c>
      <c r="G108" s="1">
        <v>0.5</v>
      </c>
      <c r="H108" s="1" t="str">
        <f>IFERROR(_xlfn.SINGLE(_xlfn.XLOOKUP(D108, 'Task Plan'!$A:$A, 'Task Plan'!$K:$K)), "")</f>
        <v>Not Started</v>
      </c>
      <c r="I108" s="6">
        <f>IFERROR(_xlfn.SINGLE(_xlfn.XLOOKUP(D108, 'Task Plan'!$A:$A, 'Task Plan'!$L:$L)), 0)</f>
        <v>0</v>
      </c>
      <c r="J108" s="1">
        <f>SUMIF($A:$A,A108,$G:$G)</f>
        <v>3</v>
      </c>
      <c r="K108" s="1"/>
    </row>
    <row r="109" spans="1:11" ht="32.1" customHeight="1">
      <c r="A109" s="1">
        <v>33</v>
      </c>
      <c r="B109" s="7">
        <v>46310</v>
      </c>
      <c r="C109" s="1">
        <v>2.5</v>
      </c>
      <c r="D109" s="1" t="s">
        <v>725</v>
      </c>
      <c r="E109" s="1" t="s">
        <v>153</v>
      </c>
      <c r="F109" s="8" t="s">
        <v>726</v>
      </c>
      <c r="G109" s="1">
        <v>0.5</v>
      </c>
      <c r="H109" s="1" t="str">
        <f>IFERROR(_xlfn.SINGLE(_xlfn.XLOOKUP(D109, 'Task Plan'!$A:$A, 'Task Plan'!$K:$K)), "")</f>
        <v>Not Started</v>
      </c>
      <c r="I109" s="6">
        <f>IFERROR(_xlfn.SINGLE(_xlfn.XLOOKUP(D109, 'Task Plan'!$A:$A, 'Task Plan'!$L:$L)), 0)</f>
        <v>0</v>
      </c>
      <c r="J109" s="1">
        <f>SUMIF($A:$A,A109,$G:$G)</f>
        <v>2.5</v>
      </c>
      <c r="K109" s="1"/>
    </row>
    <row r="110" spans="1:11" ht="32.1" customHeight="1">
      <c r="A110" s="1">
        <v>33</v>
      </c>
      <c r="B110" s="7">
        <v>46310</v>
      </c>
      <c r="C110" s="1">
        <v>2.5</v>
      </c>
      <c r="D110" s="1" t="s">
        <v>728</v>
      </c>
      <c r="E110" s="1" t="s">
        <v>153</v>
      </c>
      <c r="F110" s="8" t="s">
        <v>729</v>
      </c>
      <c r="G110" s="1">
        <v>1</v>
      </c>
      <c r="H110" s="1" t="str">
        <f>IFERROR(_xlfn.SINGLE(_xlfn.XLOOKUP(D110, 'Task Plan'!$A:$A, 'Task Plan'!$K:$K)), "")</f>
        <v>Not Started</v>
      </c>
      <c r="I110" s="6">
        <f>IFERROR(_xlfn.SINGLE(_xlfn.XLOOKUP(D110, 'Task Plan'!$A:$A, 'Task Plan'!$L:$L)), 0)</f>
        <v>0</v>
      </c>
      <c r="J110" s="1">
        <f>SUMIF($A:$A,A110,$G:$G)</f>
        <v>2.5</v>
      </c>
      <c r="K110" s="1"/>
    </row>
    <row r="111" spans="1:11" ht="32.1" customHeight="1">
      <c r="A111" s="1">
        <v>33</v>
      </c>
      <c r="B111" s="7">
        <v>46310</v>
      </c>
      <c r="C111" s="1">
        <v>2.5</v>
      </c>
      <c r="D111" s="1" t="s">
        <v>731</v>
      </c>
      <c r="E111" s="1" t="s">
        <v>153</v>
      </c>
      <c r="F111" s="8" t="s">
        <v>732</v>
      </c>
      <c r="G111" s="1">
        <v>1</v>
      </c>
      <c r="H111" s="1" t="str">
        <f>IFERROR(_xlfn.SINGLE(_xlfn.XLOOKUP(D111, 'Task Plan'!$A:$A, 'Task Plan'!$K:$K)), "")</f>
        <v>Not Started</v>
      </c>
      <c r="I111" s="6">
        <f>IFERROR(_xlfn.SINGLE(_xlfn.XLOOKUP(D111, 'Task Plan'!$A:$A, 'Task Plan'!$L:$L)), 0)</f>
        <v>0</v>
      </c>
      <c r="J111" s="1">
        <f>SUMIF($A:$A,A111,$G:$G)</f>
        <v>2.5</v>
      </c>
      <c r="K111" s="1"/>
    </row>
    <row r="112" spans="1:11" ht="32.1" customHeight="1">
      <c r="A112" s="1">
        <v>34</v>
      </c>
      <c r="B112" s="7">
        <v>46311</v>
      </c>
      <c r="C112" s="1">
        <v>2</v>
      </c>
      <c r="D112" s="1" t="s">
        <v>733</v>
      </c>
      <c r="E112" s="1" t="s">
        <v>153</v>
      </c>
      <c r="F112" s="8" t="s">
        <v>734</v>
      </c>
      <c r="G112" s="1">
        <v>1</v>
      </c>
      <c r="H112" s="1" t="str">
        <f>IFERROR(_xlfn.SINGLE(_xlfn.XLOOKUP(D112, 'Task Plan'!$A:$A, 'Task Plan'!$K:$K)), "")</f>
        <v>Not Started</v>
      </c>
      <c r="I112" s="6">
        <f>IFERROR(_xlfn.SINGLE(_xlfn.XLOOKUP(D112, 'Task Plan'!$A:$A, 'Task Plan'!$L:$L)), 0)</f>
        <v>0</v>
      </c>
      <c r="J112" s="1">
        <f>SUMIF($A:$A,A112,$G:$G)</f>
        <v>2</v>
      </c>
      <c r="K112" s="1"/>
    </row>
    <row r="113" spans="1:11" ht="32.1" customHeight="1">
      <c r="A113" s="1">
        <v>34</v>
      </c>
      <c r="B113" s="7">
        <v>46311</v>
      </c>
      <c r="C113" s="1">
        <v>2</v>
      </c>
      <c r="D113" s="1" t="s">
        <v>736</v>
      </c>
      <c r="E113" s="1" t="s">
        <v>153</v>
      </c>
      <c r="F113" s="8" t="s">
        <v>737</v>
      </c>
      <c r="G113" s="1">
        <v>0.5</v>
      </c>
      <c r="H113" s="1" t="str">
        <f>IFERROR(_xlfn.SINGLE(_xlfn.XLOOKUP(D113, 'Task Plan'!$A:$A, 'Task Plan'!$K:$K)), "")</f>
        <v>Not Started</v>
      </c>
      <c r="I113" s="6">
        <f>IFERROR(_xlfn.SINGLE(_xlfn.XLOOKUP(D113, 'Task Plan'!$A:$A, 'Task Plan'!$L:$L)), 0)</f>
        <v>0</v>
      </c>
      <c r="J113" s="1">
        <f>SUMIF($A:$A,A113,$G:$G)</f>
        <v>2</v>
      </c>
      <c r="K113" s="1"/>
    </row>
    <row r="114" spans="1:11" ht="32.1" customHeight="1">
      <c r="A114" s="1">
        <v>34</v>
      </c>
      <c r="B114" s="7">
        <v>46311</v>
      </c>
      <c r="C114" s="1">
        <v>2</v>
      </c>
      <c r="D114" s="1" t="s">
        <v>739</v>
      </c>
      <c r="E114" s="1" t="s">
        <v>153</v>
      </c>
      <c r="F114" s="8" t="s">
        <v>740</v>
      </c>
      <c r="G114" s="1">
        <v>0.5</v>
      </c>
      <c r="H114" s="1" t="str">
        <f>IFERROR(_xlfn.SINGLE(_xlfn.XLOOKUP(D114, 'Task Plan'!$A:$A, 'Task Plan'!$K:$K)), "")</f>
        <v>Not Started</v>
      </c>
      <c r="I114" s="6">
        <f>IFERROR(_xlfn.SINGLE(_xlfn.XLOOKUP(D114, 'Task Plan'!$A:$A, 'Task Plan'!$L:$L)), 0)</f>
        <v>0</v>
      </c>
      <c r="J114" s="1">
        <f>SUMIF($A:$A,A114,$G:$G)</f>
        <v>2</v>
      </c>
      <c r="K114" s="1"/>
    </row>
    <row r="115" spans="1:11" ht="32.1" customHeight="1">
      <c r="A115" s="1">
        <v>35</v>
      </c>
      <c r="B115" s="7">
        <v>46314</v>
      </c>
      <c r="C115" s="1">
        <v>2.5</v>
      </c>
      <c r="D115" s="1" t="s">
        <v>742</v>
      </c>
      <c r="E115" s="1" t="s">
        <v>153</v>
      </c>
      <c r="F115" s="8" t="s">
        <v>743</v>
      </c>
      <c r="G115" s="1">
        <v>0.5</v>
      </c>
      <c r="H115" s="1" t="str">
        <f>IFERROR(_xlfn.SINGLE(_xlfn.XLOOKUP(D115, 'Task Plan'!$A:$A, 'Task Plan'!$K:$K)), "")</f>
        <v>Not Started</v>
      </c>
      <c r="I115" s="6">
        <f>IFERROR(_xlfn.SINGLE(_xlfn.XLOOKUP(D115, 'Task Plan'!$A:$A, 'Task Plan'!$L:$L)), 0)</f>
        <v>0</v>
      </c>
      <c r="J115" s="1">
        <f>SUMIF($A:$A,A115,$G:$G)</f>
        <v>2.5</v>
      </c>
      <c r="K115" s="1"/>
    </row>
    <row r="116" spans="1:11" ht="32.1" customHeight="1">
      <c r="A116" s="1">
        <v>35</v>
      </c>
      <c r="B116" s="7">
        <v>46314</v>
      </c>
      <c r="C116" s="1">
        <v>2.5</v>
      </c>
      <c r="D116" s="1" t="s">
        <v>745</v>
      </c>
      <c r="E116" s="1" t="s">
        <v>153</v>
      </c>
      <c r="F116" s="8" t="s">
        <v>746</v>
      </c>
      <c r="G116" s="1">
        <v>1.5</v>
      </c>
      <c r="H116" s="1" t="str">
        <f>IFERROR(_xlfn.SINGLE(_xlfn.XLOOKUP(D116, 'Task Plan'!$A:$A, 'Task Plan'!$K:$K)), "")</f>
        <v>Not Started</v>
      </c>
      <c r="I116" s="6">
        <f>IFERROR(_xlfn.SINGLE(_xlfn.XLOOKUP(D116, 'Task Plan'!$A:$A, 'Task Plan'!$L:$L)), 0)</f>
        <v>0</v>
      </c>
      <c r="J116" s="1">
        <f>SUMIF($A:$A,A116,$G:$G)</f>
        <v>2.5</v>
      </c>
      <c r="K116" s="1"/>
    </row>
    <row r="117" spans="1:11" ht="32.1" customHeight="1">
      <c r="A117" s="1">
        <v>35</v>
      </c>
      <c r="B117" s="7">
        <v>46314</v>
      </c>
      <c r="C117" s="1">
        <v>2.5</v>
      </c>
      <c r="D117" s="1" t="s">
        <v>747</v>
      </c>
      <c r="E117" s="1" t="s">
        <v>153</v>
      </c>
      <c r="F117" s="8" t="s">
        <v>748</v>
      </c>
      <c r="G117" s="1">
        <v>0.5</v>
      </c>
      <c r="H117" s="1" t="str">
        <f>IFERROR(_xlfn.SINGLE(_xlfn.XLOOKUP(D117, 'Task Plan'!$A:$A, 'Task Plan'!$K:$K)), "")</f>
        <v>Not Started</v>
      </c>
      <c r="I117" s="6">
        <f>IFERROR(_xlfn.SINGLE(_xlfn.XLOOKUP(D117, 'Task Plan'!$A:$A, 'Task Plan'!$L:$L)), 0)</f>
        <v>0</v>
      </c>
      <c r="J117" s="1">
        <f>SUMIF($A:$A,A117,$G:$G)</f>
        <v>2.5</v>
      </c>
      <c r="K117" s="1"/>
    </row>
    <row r="118" spans="1:11" ht="32.1" customHeight="1">
      <c r="A118" s="1">
        <v>36</v>
      </c>
      <c r="B118" s="7">
        <v>46315</v>
      </c>
      <c r="C118" s="1">
        <v>2</v>
      </c>
      <c r="D118" s="1" t="s">
        <v>747</v>
      </c>
      <c r="E118" s="1" t="s">
        <v>153</v>
      </c>
      <c r="F118" s="8" t="s">
        <v>748</v>
      </c>
      <c r="G118" s="1">
        <v>0.5</v>
      </c>
      <c r="H118" s="1" t="str">
        <f>IFERROR(_xlfn.SINGLE(_xlfn.XLOOKUP(D118, 'Task Plan'!$A:$A, 'Task Plan'!$K:$K)), "")</f>
        <v>Not Started</v>
      </c>
      <c r="I118" s="6">
        <f>IFERROR(_xlfn.SINGLE(_xlfn.XLOOKUP(D118, 'Task Plan'!$A:$A, 'Task Plan'!$L:$L)), 0)</f>
        <v>0</v>
      </c>
      <c r="J118" s="1">
        <f>SUMIF($A:$A,A118,$G:$G)</f>
        <v>2</v>
      </c>
      <c r="K118" s="1"/>
    </row>
    <row r="119" spans="1:11" ht="32.1" customHeight="1">
      <c r="A119" s="1">
        <v>36</v>
      </c>
      <c r="B119" s="7">
        <v>46315</v>
      </c>
      <c r="C119" s="1">
        <v>2</v>
      </c>
      <c r="D119" s="1" t="s">
        <v>750</v>
      </c>
      <c r="E119" s="1" t="s">
        <v>153</v>
      </c>
      <c r="F119" s="8" t="s">
        <v>751</v>
      </c>
      <c r="G119" s="1">
        <v>0.5</v>
      </c>
      <c r="H119" s="1" t="str">
        <f>IFERROR(_xlfn.SINGLE(_xlfn.XLOOKUP(D119, 'Task Plan'!$A:$A, 'Task Plan'!$K:$K)), "")</f>
        <v>Not Started</v>
      </c>
      <c r="I119" s="6">
        <f>IFERROR(_xlfn.SINGLE(_xlfn.XLOOKUP(D119, 'Task Plan'!$A:$A, 'Task Plan'!$L:$L)), 0)</f>
        <v>0</v>
      </c>
      <c r="J119" s="1">
        <f>SUMIF($A:$A,A119,$G:$G)</f>
        <v>2</v>
      </c>
      <c r="K119" s="1"/>
    </row>
    <row r="120" spans="1:11" ht="32.1" customHeight="1">
      <c r="A120" s="1">
        <v>36</v>
      </c>
      <c r="B120" s="7">
        <v>46315</v>
      </c>
      <c r="C120" s="1">
        <v>2</v>
      </c>
      <c r="D120" s="1" t="s">
        <v>753</v>
      </c>
      <c r="E120" s="1" t="s">
        <v>153</v>
      </c>
      <c r="F120" s="8" t="s">
        <v>754</v>
      </c>
      <c r="G120" s="1">
        <v>1</v>
      </c>
      <c r="H120" s="1" t="str">
        <f>IFERROR(_xlfn.SINGLE(_xlfn.XLOOKUP(D120, 'Task Plan'!$A:$A, 'Task Plan'!$K:$K)), "")</f>
        <v>Not Started</v>
      </c>
      <c r="I120" s="6">
        <f>IFERROR(_xlfn.SINGLE(_xlfn.XLOOKUP(D120, 'Task Plan'!$A:$A, 'Task Plan'!$L:$L)), 0)</f>
        <v>0</v>
      </c>
      <c r="J120" s="1">
        <f>SUMIF($A:$A,A120,$G:$G)</f>
        <v>2</v>
      </c>
      <c r="K120" s="1"/>
    </row>
    <row r="121" spans="1:11" ht="32.1" customHeight="1">
      <c r="A121" s="1">
        <v>37</v>
      </c>
      <c r="B121" s="7">
        <v>46316</v>
      </c>
      <c r="C121" s="1">
        <v>2</v>
      </c>
      <c r="D121" s="1" t="s">
        <v>756</v>
      </c>
      <c r="E121" s="1" t="s">
        <v>153</v>
      </c>
      <c r="F121" s="8" t="s">
        <v>757</v>
      </c>
      <c r="G121" s="1">
        <v>1</v>
      </c>
      <c r="H121" s="1" t="str">
        <f>IFERROR(_xlfn.SINGLE(_xlfn.XLOOKUP(D121, 'Task Plan'!$A:$A, 'Task Plan'!$K:$K)), "")</f>
        <v>Not Started</v>
      </c>
      <c r="I121" s="6">
        <f>IFERROR(_xlfn.SINGLE(_xlfn.XLOOKUP(D121, 'Task Plan'!$A:$A, 'Task Plan'!$L:$L)), 0)</f>
        <v>0</v>
      </c>
      <c r="J121" s="1">
        <f>SUMIF($A:$A,A121,$G:$G)</f>
        <v>2</v>
      </c>
      <c r="K121" s="1"/>
    </row>
    <row r="122" spans="1:11" ht="32.1" customHeight="1">
      <c r="A122" s="1">
        <v>37</v>
      </c>
      <c r="B122" s="7">
        <v>46316</v>
      </c>
      <c r="C122" s="1">
        <v>2</v>
      </c>
      <c r="D122" s="1" t="s">
        <v>759</v>
      </c>
      <c r="E122" s="1" t="s">
        <v>153</v>
      </c>
      <c r="F122" s="8" t="s">
        <v>760</v>
      </c>
      <c r="G122" s="1">
        <v>1</v>
      </c>
      <c r="H122" s="1" t="str">
        <f>IFERROR(_xlfn.SINGLE(_xlfn.XLOOKUP(D122, 'Task Plan'!$A:$A, 'Task Plan'!$K:$K)), "")</f>
        <v>Not Started</v>
      </c>
      <c r="I122" s="6">
        <f>IFERROR(_xlfn.SINGLE(_xlfn.XLOOKUP(D122, 'Task Plan'!$A:$A, 'Task Plan'!$L:$L)), 0)</f>
        <v>0</v>
      </c>
      <c r="J122" s="1">
        <f>SUMIF($A:$A,A122,$G:$G)</f>
        <v>2</v>
      </c>
      <c r="K122" s="1"/>
    </row>
    <row r="123" spans="1:11" ht="32.1" customHeight="1">
      <c r="A123" s="1">
        <v>38</v>
      </c>
      <c r="B123" s="7">
        <v>46317</v>
      </c>
      <c r="C123" s="1">
        <v>2.5</v>
      </c>
      <c r="D123" s="1" t="s">
        <v>759</v>
      </c>
      <c r="E123" s="1" t="s">
        <v>153</v>
      </c>
      <c r="F123" s="8" t="s">
        <v>760</v>
      </c>
      <c r="G123" s="1">
        <v>1</v>
      </c>
      <c r="H123" s="1" t="str">
        <f>IFERROR(_xlfn.SINGLE(_xlfn.XLOOKUP(D123, 'Task Plan'!$A:$A, 'Task Plan'!$K:$K)), "")</f>
        <v>Not Started</v>
      </c>
      <c r="I123" s="6">
        <f>IFERROR(_xlfn.SINGLE(_xlfn.XLOOKUP(D123, 'Task Plan'!$A:$A, 'Task Plan'!$L:$L)), 0)</f>
        <v>0</v>
      </c>
      <c r="J123" s="1">
        <f>SUMIF($A:$A,A123,$G:$G)</f>
        <v>2.5</v>
      </c>
      <c r="K123" s="1"/>
    </row>
    <row r="124" spans="1:11" ht="32.1" customHeight="1">
      <c r="A124" s="1">
        <v>38</v>
      </c>
      <c r="B124" s="7">
        <v>46317</v>
      </c>
      <c r="C124" s="1">
        <v>2.5</v>
      </c>
      <c r="D124" s="1" t="s">
        <v>761</v>
      </c>
      <c r="E124" s="1" t="s">
        <v>153</v>
      </c>
      <c r="F124" s="8" t="s">
        <v>762</v>
      </c>
      <c r="G124" s="1">
        <v>1</v>
      </c>
      <c r="H124" s="1" t="str">
        <f>IFERROR(_xlfn.SINGLE(_xlfn.XLOOKUP(D124, 'Task Plan'!$A:$A, 'Task Plan'!$K:$K)), "")</f>
        <v>Not Started</v>
      </c>
      <c r="I124" s="6">
        <f>IFERROR(_xlfn.SINGLE(_xlfn.XLOOKUP(D124, 'Task Plan'!$A:$A, 'Task Plan'!$L:$L)), 0)</f>
        <v>0</v>
      </c>
      <c r="J124" s="1">
        <f>SUMIF($A:$A,A124,$G:$G)</f>
        <v>2.5</v>
      </c>
      <c r="K124" s="1"/>
    </row>
    <row r="125" spans="1:11" ht="32.1" customHeight="1">
      <c r="A125" s="1">
        <v>38</v>
      </c>
      <c r="B125" s="7">
        <v>46317</v>
      </c>
      <c r="C125" s="1">
        <v>2.5</v>
      </c>
      <c r="D125" s="1" t="s">
        <v>764</v>
      </c>
      <c r="E125" s="1" t="s">
        <v>153</v>
      </c>
      <c r="F125" s="8" t="s">
        <v>765</v>
      </c>
      <c r="G125" s="1">
        <v>0.5</v>
      </c>
      <c r="H125" s="1" t="str">
        <f>IFERROR(_xlfn.SINGLE(_xlfn.XLOOKUP(D125, 'Task Plan'!$A:$A, 'Task Plan'!$K:$K)), "")</f>
        <v>Not Started</v>
      </c>
      <c r="I125" s="6">
        <f>IFERROR(_xlfn.SINGLE(_xlfn.XLOOKUP(D125, 'Task Plan'!$A:$A, 'Task Plan'!$L:$L)), 0)</f>
        <v>0</v>
      </c>
      <c r="J125" s="1">
        <f>SUMIF($A:$A,A125,$G:$G)</f>
        <v>2.5</v>
      </c>
      <c r="K125" s="1"/>
    </row>
    <row r="126" spans="1:11" ht="32.1" customHeight="1">
      <c r="A126" s="1">
        <v>39</v>
      </c>
      <c r="B126" s="7">
        <v>46318</v>
      </c>
      <c r="C126" s="1">
        <v>2.5</v>
      </c>
      <c r="D126" s="1" t="s">
        <v>767</v>
      </c>
      <c r="E126" s="1" t="s">
        <v>153</v>
      </c>
      <c r="F126" s="8" t="s">
        <v>768</v>
      </c>
      <c r="G126" s="1">
        <v>1</v>
      </c>
      <c r="H126" s="1" t="str">
        <f>IFERROR(_xlfn.SINGLE(_xlfn.XLOOKUP(D126, 'Task Plan'!$A:$A, 'Task Plan'!$K:$K)), "")</f>
        <v>Not Started</v>
      </c>
      <c r="I126" s="6">
        <f>IFERROR(_xlfn.SINGLE(_xlfn.XLOOKUP(D126, 'Task Plan'!$A:$A, 'Task Plan'!$L:$L)), 0)</f>
        <v>0</v>
      </c>
      <c r="J126" s="1">
        <f>SUMIF($A:$A,A126,$G:$G)</f>
        <v>2.5</v>
      </c>
      <c r="K126" s="1"/>
    </row>
    <row r="127" spans="1:11" ht="32.1" customHeight="1">
      <c r="A127" s="1">
        <v>39</v>
      </c>
      <c r="B127" s="7">
        <v>46318</v>
      </c>
      <c r="C127" s="1">
        <v>2.5</v>
      </c>
      <c r="D127" s="1" t="s">
        <v>770</v>
      </c>
      <c r="E127" s="1" t="s">
        <v>153</v>
      </c>
      <c r="F127" s="8" t="s">
        <v>771</v>
      </c>
      <c r="G127" s="1">
        <v>0.5</v>
      </c>
      <c r="H127" s="1" t="str">
        <f>IFERROR(_xlfn.SINGLE(_xlfn.XLOOKUP(D127, 'Task Plan'!$A:$A, 'Task Plan'!$K:$K)), "")</f>
        <v>Not Started</v>
      </c>
      <c r="I127" s="6">
        <f>IFERROR(_xlfn.SINGLE(_xlfn.XLOOKUP(D127, 'Task Plan'!$A:$A, 'Task Plan'!$L:$L)), 0)</f>
        <v>0</v>
      </c>
      <c r="J127" s="1">
        <f>SUMIF($A:$A,A127,$G:$G)</f>
        <v>2.5</v>
      </c>
      <c r="K127" s="1"/>
    </row>
    <row r="128" spans="1:11" ht="32.1" customHeight="1">
      <c r="A128" s="1">
        <v>39</v>
      </c>
      <c r="B128" s="7">
        <v>46318</v>
      </c>
      <c r="C128" s="1">
        <v>2.5</v>
      </c>
      <c r="D128" s="1" t="s">
        <v>773</v>
      </c>
      <c r="E128" s="1" t="s">
        <v>153</v>
      </c>
      <c r="F128" s="8" t="s">
        <v>774</v>
      </c>
      <c r="G128" s="1">
        <v>1</v>
      </c>
      <c r="H128" s="1" t="str">
        <f>IFERROR(_xlfn.SINGLE(_xlfn.XLOOKUP(D128, 'Task Plan'!$A:$A, 'Task Plan'!$K:$K)), "")</f>
        <v>Not Started</v>
      </c>
      <c r="I128" s="6">
        <f>IFERROR(_xlfn.SINGLE(_xlfn.XLOOKUP(D128, 'Task Plan'!$A:$A, 'Task Plan'!$L:$L)), 0)</f>
        <v>0</v>
      </c>
      <c r="J128" s="1">
        <f>SUMIF($A:$A,A128,$G:$G)</f>
        <v>2.5</v>
      </c>
      <c r="K128" s="1"/>
    </row>
    <row r="129" spans="1:11" ht="32.1" customHeight="1">
      <c r="A129" s="1">
        <v>40</v>
      </c>
      <c r="B129" s="7">
        <v>46321</v>
      </c>
      <c r="C129" s="1">
        <v>2</v>
      </c>
      <c r="D129" s="1" t="s">
        <v>775</v>
      </c>
      <c r="E129" s="1" t="s">
        <v>153</v>
      </c>
      <c r="F129" s="8" t="s">
        <v>776</v>
      </c>
      <c r="G129" s="1">
        <v>1</v>
      </c>
      <c r="H129" s="1" t="str">
        <f>IFERROR(_xlfn.SINGLE(_xlfn.XLOOKUP(D129, 'Task Plan'!$A:$A, 'Task Plan'!$K:$K)), "")</f>
        <v>Not Started</v>
      </c>
      <c r="I129" s="6">
        <f>IFERROR(_xlfn.SINGLE(_xlfn.XLOOKUP(D129, 'Task Plan'!$A:$A, 'Task Plan'!$L:$L)), 0)</f>
        <v>0</v>
      </c>
      <c r="J129" s="1">
        <f>SUMIF($A:$A,A129,$G:$G)</f>
        <v>2</v>
      </c>
      <c r="K129" s="1"/>
    </row>
    <row r="130" spans="1:11" ht="32.1" customHeight="1">
      <c r="A130" s="1">
        <v>40</v>
      </c>
      <c r="B130" s="7">
        <v>46321</v>
      </c>
      <c r="C130" s="1">
        <v>2</v>
      </c>
      <c r="D130" s="1" t="s">
        <v>778</v>
      </c>
      <c r="E130" s="1" t="s">
        <v>153</v>
      </c>
      <c r="F130" s="8" t="s">
        <v>779</v>
      </c>
      <c r="G130" s="1">
        <v>0.5</v>
      </c>
      <c r="H130" s="1" t="str">
        <f>IFERROR(_xlfn.SINGLE(_xlfn.XLOOKUP(D130, 'Task Plan'!$A:$A, 'Task Plan'!$K:$K)), "")</f>
        <v>Not Started</v>
      </c>
      <c r="I130" s="6">
        <f>IFERROR(_xlfn.SINGLE(_xlfn.XLOOKUP(D130, 'Task Plan'!$A:$A, 'Task Plan'!$L:$L)), 0)</f>
        <v>0</v>
      </c>
      <c r="J130" s="1">
        <f>SUMIF($A:$A,A130,$G:$G)</f>
        <v>2</v>
      </c>
      <c r="K130" s="1"/>
    </row>
    <row r="131" spans="1:11" ht="32.1" customHeight="1">
      <c r="A131" s="1">
        <v>40</v>
      </c>
      <c r="B131" s="7">
        <v>46321</v>
      </c>
      <c r="C131" s="1">
        <v>2</v>
      </c>
      <c r="D131" s="1" t="s">
        <v>781</v>
      </c>
      <c r="E131" s="1" t="s">
        <v>153</v>
      </c>
      <c r="F131" s="8" t="s">
        <v>782</v>
      </c>
      <c r="G131" s="1">
        <v>0.5</v>
      </c>
      <c r="H131" s="1" t="str">
        <f>IFERROR(_xlfn.SINGLE(_xlfn.XLOOKUP(D131, 'Task Plan'!$A:$A, 'Task Plan'!$K:$K)), "")</f>
        <v>Not Started</v>
      </c>
      <c r="I131" s="6">
        <f>IFERROR(_xlfn.SINGLE(_xlfn.XLOOKUP(D131, 'Task Plan'!$A:$A, 'Task Plan'!$L:$L)), 0)</f>
        <v>0</v>
      </c>
      <c r="J131" s="1">
        <f>SUMIF($A:$A,A131,$G:$G)</f>
        <v>2</v>
      </c>
      <c r="K131" s="1"/>
    </row>
    <row r="132" spans="1:11" ht="32.1" customHeight="1">
      <c r="A132" s="1">
        <v>41</v>
      </c>
      <c r="B132" s="7">
        <v>46322</v>
      </c>
      <c r="C132" s="1">
        <v>2.5</v>
      </c>
      <c r="D132" s="1" t="s">
        <v>781</v>
      </c>
      <c r="E132" s="1" t="s">
        <v>153</v>
      </c>
      <c r="F132" s="8" t="s">
        <v>782</v>
      </c>
      <c r="G132" s="1">
        <v>0.5</v>
      </c>
      <c r="H132" s="1" t="str">
        <f>IFERROR(_xlfn.SINGLE(_xlfn.XLOOKUP(D132, 'Task Plan'!$A:$A, 'Task Plan'!$K:$K)), "")</f>
        <v>Not Started</v>
      </c>
      <c r="I132" s="6">
        <f>IFERROR(_xlfn.SINGLE(_xlfn.XLOOKUP(D132, 'Task Plan'!$A:$A, 'Task Plan'!$L:$L)), 0)</f>
        <v>0</v>
      </c>
      <c r="J132" s="1">
        <f>SUMIF($A:$A,A132,$G:$G)</f>
        <v>2.5</v>
      </c>
      <c r="K132" s="1"/>
    </row>
    <row r="133" spans="1:11" ht="32.1" customHeight="1">
      <c r="A133" s="1">
        <v>41</v>
      </c>
      <c r="B133" s="7">
        <v>46322</v>
      </c>
      <c r="C133" s="1">
        <v>2.5</v>
      </c>
      <c r="D133" s="1" t="s">
        <v>784</v>
      </c>
      <c r="E133" s="1" t="s">
        <v>153</v>
      </c>
      <c r="F133" s="8" t="s">
        <v>785</v>
      </c>
      <c r="G133" s="1">
        <v>1</v>
      </c>
      <c r="H133" s="1" t="str">
        <f>IFERROR(_xlfn.SINGLE(_xlfn.XLOOKUP(D133, 'Task Plan'!$A:$A, 'Task Plan'!$K:$K)), "")</f>
        <v>Not Started</v>
      </c>
      <c r="I133" s="6">
        <f>IFERROR(_xlfn.SINGLE(_xlfn.XLOOKUP(D133, 'Task Plan'!$A:$A, 'Task Plan'!$L:$L)), 0)</f>
        <v>0</v>
      </c>
      <c r="J133" s="1">
        <f>SUMIF($A:$A,A133,$G:$G)</f>
        <v>2.5</v>
      </c>
      <c r="K133" s="1"/>
    </row>
    <row r="134" spans="1:11" ht="32.1" customHeight="1">
      <c r="A134" s="1">
        <v>41</v>
      </c>
      <c r="B134" s="7">
        <v>46322</v>
      </c>
      <c r="C134" s="1">
        <v>2.5</v>
      </c>
      <c r="D134" s="1" t="s">
        <v>787</v>
      </c>
      <c r="E134" s="1" t="s">
        <v>153</v>
      </c>
      <c r="F134" s="8" t="s">
        <v>788</v>
      </c>
      <c r="G134" s="1">
        <v>1</v>
      </c>
      <c r="H134" s="1" t="str">
        <f>IFERROR(_xlfn.SINGLE(_xlfn.XLOOKUP(D134, 'Task Plan'!$A:$A, 'Task Plan'!$K:$K)), "")</f>
        <v>Not Started</v>
      </c>
      <c r="I134" s="6">
        <f>IFERROR(_xlfn.SINGLE(_xlfn.XLOOKUP(D134, 'Task Plan'!$A:$A, 'Task Plan'!$L:$L)), 0)</f>
        <v>0</v>
      </c>
      <c r="J134" s="1">
        <f>SUMIF($A:$A,A134,$G:$G)</f>
        <v>2.5</v>
      </c>
      <c r="K134" s="1"/>
    </row>
    <row r="135" spans="1:11" ht="32.1" customHeight="1">
      <c r="A135" s="1">
        <v>42</v>
      </c>
      <c r="B135" s="7">
        <v>46323</v>
      </c>
      <c r="C135" s="1">
        <v>3</v>
      </c>
      <c r="D135" s="1" t="s">
        <v>789</v>
      </c>
      <c r="E135" s="1" t="s">
        <v>153</v>
      </c>
      <c r="F135" s="8" t="s">
        <v>790</v>
      </c>
      <c r="G135" s="1">
        <v>1</v>
      </c>
      <c r="H135" s="1" t="str">
        <f>IFERROR(_xlfn.SINGLE(_xlfn.XLOOKUP(D135, 'Task Plan'!$A:$A, 'Task Plan'!$K:$K)), "")</f>
        <v>Not Started</v>
      </c>
      <c r="I135" s="6">
        <f>IFERROR(_xlfn.SINGLE(_xlfn.XLOOKUP(D135, 'Task Plan'!$A:$A, 'Task Plan'!$L:$L)), 0)</f>
        <v>0</v>
      </c>
      <c r="J135" s="1">
        <f>SUMIF($A:$A,A135,$G:$G)</f>
        <v>3</v>
      </c>
      <c r="K135" s="1"/>
    </row>
    <row r="136" spans="1:11" ht="32.1" customHeight="1">
      <c r="A136" s="1">
        <v>42</v>
      </c>
      <c r="B136" s="7">
        <v>46323</v>
      </c>
      <c r="C136" s="1">
        <v>3</v>
      </c>
      <c r="D136" s="1" t="s">
        <v>792</v>
      </c>
      <c r="E136" s="1" t="s">
        <v>153</v>
      </c>
      <c r="F136" s="8" t="s">
        <v>793</v>
      </c>
      <c r="G136" s="1">
        <v>0.5</v>
      </c>
      <c r="H136" s="1" t="str">
        <f>IFERROR(_xlfn.SINGLE(_xlfn.XLOOKUP(D136, 'Task Plan'!$A:$A, 'Task Plan'!$K:$K)), "")</f>
        <v>Not Started</v>
      </c>
      <c r="I136" s="6">
        <f>IFERROR(_xlfn.SINGLE(_xlfn.XLOOKUP(D136, 'Task Plan'!$A:$A, 'Task Plan'!$L:$L)), 0)</f>
        <v>0</v>
      </c>
      <c r="J136" s="1">
        <f>SUMIF($A:$A,A136,$G:$G)</f>
        <v>3</v>
      </c>
      <c r="K136" s="1"/>
    </row>
    <row r="137" spans="1:11" ht="32.1" customHeight="1">
      <c r="A137" s="1">
        <v>42</v>
      </c>
      <c r="B137" s="7">
        <v>46323</v>
      </c>
      <c r="C137" s="1">
        <v>3</v>
      </c>
      <c r="D137" s="1" t="s">
        <v>795</v>
      </c>
      <c r="E137" s="1" t="s">
        <v>153</v>
      </c>
      <c r="F137" s="8" t="s">
        <v>796</v>
      </c>
      <c r="G137" s="1">
        <v>1</v>
      </c>
      <c r="H137" s="1" t="str">
        <f>IFERROR(_xlfn.SINGLE(_xlfn.XLOOKUP(D137, 'Task Plan'!$A:$A, 'Task Plan'!$K:$K)), "")</f>
        <v>Not Started</v>
      </c>
      <c r="I137" s="6">
        <f>IFERROR(_xlfn.SINGLE(_xlfn.XLOOKUP(D137, 'Task Plan'!$A:$A, 'Task Plan'!$L:$L)), 0)</f>
        <v>0</v>
      </c>
      <c r="J137" s="1">
        <f>SUMIF($A:$A,A137,$G:$G)</f>
        <v>3</v>
      </c>
      <c r="K137" s="1"/>
    </row>
    <row r="138" spans="1:11" ht="32.1" customHeight="1">
      <c r="A138" s="1">
        <v>42</v>
      </c>
      <c r="B138" s="7">
        <v>46323</v>
      </c>
      <c r="C138" s="1">
        <v>3</v>
      </c>
      <c r="D138" s="1" t="s">
        <v>798</v>
      </c>
      <c r="E138" s="1" t="s">
        <v>153</v>
      </c>
      <c r="F138" s="8" t="s">
        <v>799</v>
      </c>
      <c r="G138" s="1">
        <v>0.5</v>
      </c>
      <c r="H138" s="1" t="str">
        <f>IFERROR(_xlfn.SINGLE(_xlfn.XLOOKUP(D138, 'Task Plan'!$A:$A, 'Task Plan'!$K:$K)), "")</f>
        <v>Not Started</v>
      </c>
      <c r="I138" s="6">
        <f>IFERROR(_xlfn.SINGLE(_xlfn.XLOOKUP(D138, 'Task Plan'!$A:$A, 'Task Plan'!$L:$L)), 0)</f>
        <v>0</v>
      </c>
      <c r="J138" s="1">
        <f>SUMIF($A:$A,A138,$G:$G)</f>
        <v>3</v>
      </c>
      <c r="K138" s="1"/>
    </row>
    <row r="139" spans="1:11" ht="32.1" customHeight="1">
      <c r="A139" s="1">
        <v>43</v>
      </c>
      <c r="B139" s="7">
        <v>46324</v>
      </c>
      <c r="C139" s="1">
        <v>3</v>
      </c>
      <c r="D139" s="1" t="s">
        <v>798</v>
      </c>
      <c r="E139" s="1" t="s">
        <v>153</v>
      </c>
      <c r="F139" s="8" t="s">
        <v>799</v>
      </c>
      <c r="G139" s="1">
        <v>0.5</v>
      </c>
      <c r="H139" s="1" t="str">
        <f>IFERROR(_xlfn.SINGLE(_xlfn.XLOOKUP(D139, 'Task Plan'!$A:$A, 'Task Plan'!$K:$K)), "")</f>
        <v>Not Started</v>
      </c>
      <c r="I139" s="6">
        <f>IFERROR(_xlfn.SINGLE(_xlfn.XLOOKUP(D139, 'Task Plan'!$A:$A, 'Task Plan'!$L:$L)), 0)</f>
        <v>0</v>
      </c>
      <c r="J139" s="1">
        <f>SUMIF($A:$A,A139,$G:$G)</f>
        <v>3</v>
      </c>
      <c r="K139" s="1"/>
    </row>
    <row r="140" spans="1:11" ht="32.1" customHeight="1">
      <c r="A140" s="1">
        <v>43</v>
      </c>
      <c r="B140" s="7">
        <v>46324</v>
      </c>
      <c r="C140" s="1">
        <v>3</v>
      </c>
      <c r="D140" s="1" t="s">
        <v>801</v>
      </c>
      <c r="E140" s="1" t="s">
        <v>153</v>
      </c>
      <c r="F140" s="8" t="s">
        <v>802</v>
      </c>
      <c r="G140" s="1">
        <v>1</v>
      </c>
      <c r="H140" s="1" t="str">
        <f>IFERROR(_xlfn.SINGLE(_xlfn.XLOOKUP(D140, 'Task Plan'!$A:$A, 'Task Plan'!$K:$K)), "")</f>
        <v>Not Started</v>
      </c>
      <c r="I140" s="6">
        <f>IFERROR(_xlfn.SINGLE(_xlfn.XLOOKUP(D140, 'Task Plan'!$A:$A, 'Task Plan'!$L:$L)), 0)</f>
        <v>0</v>
      </c>
      <c r="J140" s="1">
        <f>SUMIF($A:$A,A140,$G:$G)</f>
        <v>3</v>
      </c>
      <c r="K140" s="1"/>
    </row>
    <row r="141" spans="1:11" ht="32.1" customHeight="1">
      <c r="A141" s="1">
        <v>43</v>
      </c>
      <c r="B141" s="7">
        <v>46324</v>
      </c>
      <c r="C141" s="1">
        <v>3</v>
      </c>
      <c r="D141" s="1" t="s">
        <v>803</v>
      </c>
      <c r="E141" s="1" t="s">
        <v>153</v>
      </c>
      <c r="F141" s="8" t="s">
        <v>804</v>
      </c>
      <c r="G141" s="1">
        <v>1</v>
      </c>
      <c r="H141" s="1" t="str">
        <f>IFERROR(_xlfn.SINGLE(_xlfn.XLOOKUP(D141, 'Task Plan'!$A:$A, 'Task Plan'!$K:$K)), "")</f>
        <v>Not Started</v>
      </c>
      <c r="I141" s="6">
        <f>IFERROR(_xlfn.SINGLE(_xlfn.XLOOKUP(D141, 'Task Plan'!$A:$A, 'Task Plan'!$L:$L)), 0)</f>
        <v>0</v>
      </c>
      <c r="J141" s="1">
        <f>SUMIF($A:$A,A141,$G:$G)</f>
        <v>3</v>
      </c>
      <c r="K141" s="1"/>
    </row>
    <row r="142" spans="1:11" ht="32.1" customHeight="1">
      <c r="A142" s="1">
        <v>43</v>
      </c>
      <c r="B142" s="7">
        <v>46324</v>
      </c>
      <c r="C142" s="1">
        <v>3</v>
      </c>
      <c r="D142" s="1" t="s">
        <v>806</v>
      </c>
      <c r="E142" s="1" t="s">
        <v>153</v>
      </c>
      <c r="F142" s="8" t="s">
        <v>807</v>
      </c>
      <c r="G142" s="1">
        <v>0.5</v>
      </c>
      <c r="H142" s="1" t="str">
        <f>IFERROR(_xlfn.SINGLE(_xlfn.XLOOKUP(D142, 'Task Plan'!$A:$A, 'Task Plan'!$K:$K)), "")</f>
        <v>Not Started</v>
      </c>
      <c r="I142" s="6">
        <f>IFERROR(_xlfn.SINGLE(_xlfn.XLOOKUP(D142, 'Task Plan'!$A:$A, 'Task Plan'!$L:$L)), 0)</f>
        <v>0</v>
      </c>
      <c r="J142" s="1">
        <f>SUMIF($A:$A,A142,$G:$G)</f>
        <v>3</v>
      </c>
      <c r="K142" s="1"/>
    </row>
    <row r="143" spans="1:11" ht="32.1" customHeight="1">
      <c r="A143" s="1">
        <v>44</v>
      </c>
      <c r="B143" s="7">
        <v>46325</v>
      </c>
      <c r="C143" s="1">
        <v>2.5</v>
      </c>
      <c r="D143" s="1" t="s">
        <v>809</v>
      </c>
      <c r="E143" s="1" t="s">
        <v>153</v>
      </c>
      <c r="F143" s="8" t="s">
        <v>810</v>
      </c>
      <c r="G143" s="1">
        <v>1</v>
      </c>
      <c r="H143" s="1" t="str">
        <f>IFERROR(_xlfn.SINGLE(_xlfn.XLOOKUP(D143, 'Task Plan'!$A:$A, 'Task Plan'!$K:$K)), "")</f>
        <v>Not Started</v>
      </c>
      <c r="I143" s="6">
        <f>IFERROR(_xlfn.SINGLE(_xlfn.XLOOKUP(D143, 'Task Plan'!$A:$A, 'Task Plan'!$L:$L)), 0)</f>
        <v>0</v>
      </c>
      <c r="J143" s="1">
        <f>SUMIF($A:$A,A143,$G:$G)</f>
        <v>2.5</v>
      </c>
      <c r="K143" s="1"/>
    </row>
    <row r="144" spans="1:11" ht="32.1" customHeight="1">
      <c r="A144" s="1">
        <v>44</v>
      </c>
      <c r="B144" s="7">
        <v>46325</v>
      </c>
      <c r="C144" s="1">
        <v>2.5</v>
      </c>
      <c r="D144" s="1" t="s">
        <v>812</v>
      </c>
      <c r="E144" s="1" t="s">
        <v>153</v>
      </c>
      <c r="F144" s="8" t="s">
        <v>813</v>
      </c>
      <c r="G144" s="1">
        <v>1</v>
      </c>
      <c r="H144" s="1" t="str">
        <f>IFERROR(_xlfn.SINGLE(_xlfn.XLOOKUP(D144, 'Task Plan'!$A:$A, 'Task Plan'!$K:$K)), "")</f>
        <v>Not Started</v>
      </c>
      <c r="I144" s="6">
        <f>IFERROR(_xlfn.SINGLE(_xlfn.XLOOKUP(D144, 'Task Plan'!$A:$A, 'Task Plan'!$L:$L)), 0)</f>
        <v>0</v>
      </c>
      <c r="J144" s="1">
        <f>SUMIF($A:$A,A144,$G:$G)</f>
        <v>2.5</v>
      </c>
      <c r="K144" s="1"/>
    </row>
    <row r="145" spans="1:11" ht="32.1" customHeight="1">
      <c r="A145" s="1">
        <v>44</v>
      </c>
      <c r="B145" s="7">
        <v>46325</v>
      </c>
      <c r="C145" s="1">
        <v>2.5</v>
      </c>
      <c r="D145" s="1" t="s">
        <v>815</v>
      </c>
      <c r="E145" s="1" t="s">
        <v>153</v>
      </c>
      <c r="F145" s="8" t="s">
        <v>816</v>
      </c>
      <c r="G145" s="1">
        <v>0.5</v>
      </c>
      <c r="H145" s="1" t="str">
        <f>IFERROR(_xlfn.SINGLE(_xlfn.XLOOKUP(D145, 'Task Plan'!$A:$A, 'Task Plan'!$K:$K)), "")</f>
        <v>Not Started</v>
      </c>
      <c r="I145" s="6">
        <f>IFERROR(_xlfn.SINGLE(_xlfn.XLOOKUP(D145, 'Task Plan'!$A:$A, 'Task Plan'!$L:$L)), 0)</f>
        <v>0</v>
      </c>
      <c r="J145" s="1">
        <f>SUMIF($A:$A,A145,$G:$G)</f>
        <v>2.5</v>
      </c>
      <c r="K145" s="1"/>
    </row>
    <row r="146" spans="1:11" ht="32.1" customHeight="1">
      <c r="A146" s="1">
        <v>45</v>
      </c>
      <c r="B146" s="7">
        <v>46328</v>
      </c>
      <c r="C146" s="1">
        <v>3</v>
      </c>
      <c r="D146" s="1" t="s">
        <v>815</v>
      </c>
      <c r="E146" s="1" t="s">
        <v>153</v>
      </c>
      <c r="F146" s="8" t="s">
        <v>816</v>
      </c>
      <c r="G146" s="1">
        <v>1</v>
      </c>
      <c r="H146" s="1" t="str">
        <f>IFERROR(_xlfn.SINGLE(_xlfn.XLOOKUP(D146, 'Task Plan'!$A:$A, 'Task Plan'!$K:$K)), "")</f>
        <v>Not Started</v>
      </c>
      <c r="I146" s="6">
        <f>IFERROR(_xlfn.SINGLE(_xlfn.XLOOKUP(D146, 'Task Plan'!$A:$A, 'Task Plan'!$L:$L)), 0)</f>
        <v>0</v>
      </c>
      <c r="J146" s="1">
        <f>SUMIF($A:$A,A146,$G:$G)</f>
        <v>3</v>
      </c>
      <c r="K146" s="1"/>
    </row>
    <row r="147" spans="1:11" ht="32.1" customHeight="1">
      <c r="A147" s="1">
        <v>45</v>
      </c>
      <c r="B147" s="7">
        <v>46328</v>
      </c>
      <c r="C147" s="1">
        <v>3</v>
      </c>
      <c r="D147" s="1" t="s">
        <v>817</v>
      </c>
      <c r="E147" s="1" t="s">
        <v>153</v>
      </c>
      <c r="F147" s="8" t="s">
        <v>818</v>
      </c>
      <c r="G147" s="1">
        <v>1</v>
      </c>
      <c r="H147" s="1" t="str">
        <f>IFERROR(_xlfn.SINGLE(_xlfn.XLOOKUP(D147, 'Task Plan'!$A:$A, 'Task Plan'!$K:$K)), "")</f>
        <v>Not Started</v>
      </c>
      <c r="I147" s="6">
        <f>IFERROR(_xlfn.SINGLE(_xlfn.XLOOKUP(D147, 'Task Plan'!$A:$A, 'Task Plan'!$L:$L)), 0)</f>
        <v>0</v>
      </c>
      <c r="J147" s="1">
        <f>SUMIF($A:$A,A147,$G:$G)</f>
        <v>3</v>
      </c>
      <c r="K147" s="1"/>
    </row>
    <row r="148" spans="1:11" ht="32.1" customHeight="1">
      <c r="A148" s="1">
        <v>45</v>
      </c>
      <c r="B148" s="7">
        <v>46328</v>
      </c>
      <c r="C148" s="1">
        <v>3</v>
      </c>
      <c r="D148" s="1" t="s">
        <v>820</v>
      </c>
      <c r="E148" s="1" t="s">
        <v>153</v>
      </c>
      <c r="F148" s="8" t="s">
        <v>821</v>
      </c>
      <c r="G148" s="1">
        <v>0.5</v>
      </c>
      <c r="H148" s="1" t="str">
        <f>IFERROR(_xlfn.SINGLE(_xlfn.XLOOKUP(D148, 'Task Plan'!$A:$A, 'Task Plan'!$K:$K)), "")</f>
        <v>Not Started</v>
      </c>
      <c r="I148" s="6">
        <f>IFERROR(_xlfn.SINGLE(_xlfn.XLOOKUP(D148, 'Task Plan'!$A:$A, 'Task Plan'!$L:$L)), 0)</f>
        <v>0</v>
      </c>
      <c r="J148" s="1">
        <f>SUMIF($A:$A,A148,$G:$G)</f>
        <v>3</v>
      </c>
      <c r="K148" s="1"/>
    </row>
    <row r="149" spans="1:11" ht="32.1" customHeight="1">
      <c r="A149" s="1">
        <v>45</v>
      </c>
      <c r="B149" s="7">
        <v>46328</v>
      </c>
      <c r="C149" s="1">
        <v>3</v>
      </c>
      <c r="D149" s="1" t="s">
        <v>823</v>
      </c>
      <c r="E149" s="1" t="s">
        <v>192</v>
      </c>
      <c r="F149" s="8" t="s">
        <v>824</v>
      </c>
      <c r="G149" s="1">
        <v>0.5</v>
      </c>
      <c r="H149" s="1" t="str">
        <f>IFERROR(_xlfn.SINGLE(_xlfn.XLOOKUP(D149, 'Task Plan'!$A:$A, 'Task Plan'!$K:$K)), "")</f>
        <v>Not Started</v>
      </c>
      <c r="I149" s="6">
        <f>IFERROR(_xlfn.SINGLE(_xlfn.XLOOKUP(D149, 'Task Plan'!$A:$A, 'Task Plan'!$L:$L)), 0)</f>
        <v>0</v>
      </c>
      <c r="J149" s="1">
        <f>SUMIF($A:$A,A149,$G:$G)</f>
        <v>3</v>
      </c>
      <c r="K149" s="1"/>
    </row>
    <row r="150" spans="1:11" ht="32.1" customHeight="1">
      <c r="A150" s="1">
        <v>46</v>
      </c>
      <c r="B150" s="7">
        <v>46329</v>
      </c>
      <c r="C150" s="1">
        <v>3</v>
      </c>
      <c r="D150" s="1" t="s">
        <v>826</v>
      </c>
      <c r="E150" s="1" t="s">
        <v>192</v>
      </c>
      <c r="F150" s="8" t="s">
        <v>827</v>
      </c>
      <c r="G150" s="1">
        <v>0.5</v>
      </c>
      <c r="H150" s="1" t="str">
        <f>IFERROR(_xlfn.SINGLE(_xlfn.XLOOKUP(D150, 'Task Plan'!$A:$A, 'Task Plan'!$K:$K)), "")</f>
        <v>Not Started</v>
      </c>
      <c r="I150" s="6">
        <f>IFERROR(_xlfn.SINGLE(_xlfn.XLOOKUP(D150, 'Task Plan'!$A:$A, 'Task Plan'!$L:$L)), 0)</f>
        <v>0</v>
      </c>
      <c r="J150" s="1">
        <f>SUMIF($A:$A,A150,$G:$G)</f>
        <v>3</v>
      </c>
      <c r="K150" s="1"/>
    </row>
    <row r="151" spans="1:11" ht="32.1" customHeight="1">
      <c r="A151" s="1">
        <v>46</v>
      </c>
      <c r="B151" s="7">
        <v>46329</v>
      </c>
      <c r="C151" s="1">
        <v>3</v>
      </c>
      <c r="D151" s="1" t="s">
        <v>829</v>
      </c>
      <c r="E151" s="1" t="s">
        <v>192</v>
      </c>
      <c r="F151" s="8" t="s">
        <v>830</v>
      </c>
      <c r="G151" s="1">
        <v>2</v>
      </c>
      <c r="H151" s="1" t="str">
        <f>IFERROR(_xlfn.SINGLE(_xlfn.XLOOKUP(D151, 'Task Plan'!$A:$A, 'Task Plan'!$K:$K)), "")</f>
        <v>Not Started</v>
      </c>
      <c r="I151" s="6">
        <f>IFERROR(_xlfn.SINGLE(_xlfn.XLOOKUP(D151, 'Task Plan'!$A:$A, 'Task Plan'!$L:$L)), 0)</f>
        <v>0</v>
      </c>
      <c r="J151" s="1">
        <f>SUMIF($A:$A,A151,$G:$G)</f>
        <v>3</v>
      </c>
      <c r="K151" s="1"/>
    </row>
    <row r="152" spans="1:11" ht="32.1" customHeight="1">
      <c r="A152" s="1">
        <v>46</v>
      </c>
      <c r="B152" s="7">
        <v>46329</v>
      </c>
      <c r="C152" s="1">
        <v>3</v>
      </c>
      <c r="D152" s="1" t="s">
        <v>831</v>
      </c>
      <c r="E152" s="1" t="s">
        <v>192</v>
      </c>
      <c r="F152" s="8" t="s">
        <v>832</v>
      </c>
      <c r="G152" s="1">
        <v>0.5</v>
      </c>
      <c r="H152" s="1" t="str">
        <f>IFERROR(_xlfn.SINGLE(_xlfn.XLOOKUP(D152, 'Task Plan'!$A:$A, 'Task Plan'!$K:$K)), "")</f>
        <v>Not Started</v>
      </c>
      <c r="I152" s="6">
        <f>IFERROR(_xlfn.SINGLE(_xlfn.XLOOKUP(D152, 'Task Plan'!$A:$A, 'Task Plan'!$L:$L)), 0)</f>
        <v>0</v>
      </c>
      <c r="J152" s="1">
        <f>SUMIF($A:$A,A152,$G:$G)</f>
        <v>3</v>
      </c>
      <c r="K152" s="1"/>
    </row>
    <row r="153" spans="1:11" ht="32.1" customHeight="1">
      <c r="A153" s="1">
        <v>47</v>
      </c>
      <c r="B153" s="7">
        <v>46330</v>
      </c>
      <c r="C153" s="1">
        <v>3</v>
      </c>
      <c r="D153" s="1" t="s">
        <v>831</v>
      </c>
      <c r="E153" s="1" t="s">
        <v>192</v>
      </c>
      <c r="F153" s="8" t="s">
        <v>832</v>
      </c>
      <c r="G153" s="1">
        <v>0.5</v>
      </c>
      <c r="H153" s="1" t="str">
        <f>IFERROR(_xlfn.SINGLE(_xlfn.XLOOKUP(D153, 'Task Plan'!$A:$A, 'Task Plan'!$K:$K)), "")</f>
        <v>Not Started</v>
      </c>
      <c r="I153" s="6">
        <f>IFERROR(_xlfn.SINGLE(_xlfn.XLOOKUP(D153, 'Task Plan'!$A:$A, 'Task Plan'!$L:$L)), 0)</f>
        <v>0</v>
      </c>
      <c r="J153" s="1">
        <f>SUMIF($A:$A,A153,$G:$G)</f>
        <v>3</v>
      </c>
      <c r="K153" s="1"/>
    </row>
    <row r="154" spans="1:11" ht="32.1" customHeight="1">
      <c r="A154" s="1">
        <v>47</v>
      </c>
      <c r="B154" s="7">
        <v>46330</v>
      </c>
      <c r="C154" s="1">
        <v>3</v>
      </c>
      <c r="D154" s="1" t="s">
        <v>834</v>
      </c>
      <c r="E154" s="1" t="s">
        <v>192</v>
      </c>
      <c r="F154" s="8" t="s">
        <v>835</v>
      </c>
      <c r="G154" s="1">
        <v>0.5</v>
      </c>
      <c r="H154" s="1" t="str">
        <f>IFERROR(_xlfn.SINGLE(_xlfn.XLOOKUP(D154, 'Task Plan'!$A:$A, 'Task Plan'!$K:$K)), "")</f>
        <v>Not Started</v>
      </c>
      <c r="I154" s="6">
        <f>IFERROR(_xlfn.SINGLE(_xlfn.XLOOKUP(D154, 'Task Plan'!$A:$A, 'Task Plan'!$L:$L)), 0)</f>
        <v>0</v>
      </c>
      <c r="J154" s="1">
        <f>SUMIF($A:$A,A154,$G:$G)</f>
        <v>3</v>
      </c>
      <c r="K154" s="1"/>
    </row>
    <row r="155" spans="1:11" ht="32.1" customHeight="1">
      <c r="A155" s="1">
        <v>47</v>
      </c>
      <c r="B155" s="7">
        <v>46330</v>
      </c>
      <c r="C155" s="1">
        <v>3</v>
      </c>
      <c r="D155" s="1" t="s">
        <v>837</v>
      </c>
      <c r="E155" s="1" t="s">
        <v>192</v>
      </c>
      <c r="F155" s="8" t="s">
        <v>838</v>
      </c>
      <c r="G155" s="1">
        <v>1</v>
      </c>
      <c r="H155" s="1" t="str">
        <f>IFERROR(_xlfn.SINGLE(_xlfn.XLOOKUP(D155, 'Task Plan'!$A:$A, 'Task Plan'!$K:$K)), "")</f>
        <v>Not Started</v>
      </c>
      <c r="I155" s="6">
        <f>IFERROR(_xlfn.SINGLE(_xlfn.XLOOKUP(D155, 'Task Plan'!$A:$A, 'Task Plan'!$L:$L)), 0)</f>
        <v>0</v>
      </c>
      <c r="J155" s="1">
        <f>SUMIF($A:$A,A155,$G:$G)</f>
        <v>3</v>
      </c>
      <c r="K155" s="1"/>
    </row>
    <row r="156" spans="1:11" ht="32.1" customHeight="1">
      <c r="A156" s="1">
        <v>47</v>
      </c>
      <c r="B156" s="7">
        <v>46330</v>
      </c>
      <c r="C156" s="1">
        <v>3</v>
      </c>
      <c r="D156" s="1" t="s">
        <v>840</v>
      </c>
      <c r="E156" s="1" t="s">
        <v>192</v>
      </c>
      <c r="F156" s="8" t="s">
        <v>841</v>
      </c>
      <c r="G156" s="1">
        <v>1</v>
      </c>
      <c r="H156" s="1" t="str">
        <f>IFERROR(_xlfn.SINGLE(_xlfn.XLOOKUP(D156, 'Task Plan'!$A:$A, 'Task Plan'!$K:$K)), "")</f>
        <v>Not Started</v>
      </c>
      <c r="I156" s="6">
        <f>IFERROR(_xlfn.SINGLE(_xlfn.XLOOKUP(D156, 'Task Plan'!$A:$A, 'Task Plan'!$L:$L)), 0)</f>
        <v>0</v>
      </c>
      <c r="J156" s="1">
        <f>SUMIF($A:$A,A156,$G:$G)</f>
        <v>3</v>
      </c>
      <c r="K156" s="1"/>
    </row>
    <row r="157" spans="1:11" ht="32.1" customHeight="1">
      <c r="A157" s="1">
        <v>48</v>
      </c>
      <c r="B157" s="7">
        <v>46331</v>
      </c>
      <c r="C157" s="1">
        <v>2</v>
      </c>
      <c r="D157" s="1" t="s">
        <v>843</v>
      </c>
      <c r="E157" s="1" t="s">
        <v>192</v>
      </c>
      <c r="F157" s="8" t="s">
        <v>844</v>
      </c>
      <c r="G157" s="1">
        <v>2</v>
      </c>
      <c r="H157" s="1" t="str">
        <f>IFERROR(_xlfn.SINGLE(_xlfn.XLOOKUP(D157, 'Task Plan'!$A:$A, 'Task Plan'!$K:$K)), "")</f>
        <v>Not Started</v>
      </c>
      <c r="I157" s="6">
        <f>IFERROR(_xlfn.SINGLE(_xlfn.XLOOKUP(D157, 'Task Plan'!$A:$A, 'Task Plan'!$L:$L)), 0)</f>
        <v>0</v>
      </c>
      <c r="J157" s="1">
        <f>SUMIF($A:$A,A157,$G:$G)</f>
        <v>2</v>
      </c>
      <c r="K157" s="1"/>
    </row>
    <row r="158" spans="1:11" ht="32.1" customHeight="1">
      <c r="A158" s="1">
        <v>49</v>
      </c>
      <c r="B158" s="7">
        <v>46332</v>
      </c>
      <c r="C158" s="1">
        <v>3</v>
      </c>
      <c r="D158" s="1" t="s">
        <v>845</v>
      </c>
      <c r="E158" s="1" t="s">
        <v>192</v>
      </c>
      <c r="F158" s="8" t="s">
        <v>846</v>
      </c>
      <c r="G158" s="1">
        <v>1</v>
      </c>
      <c r="H158" s="1" t="str">
        <f>IFERROR(_xlfn.SINGLE(_xlfn.XLOOKUP(D158, 'Task Plan'!$A:$A, 'Task Plan'!$K:$K)), "")</f>
        <v>Not Started</v>
      </c>
      <c r="I158" s="6">
        <f>IFERROR(_xlfn.SINGLE(_xlfn.XLOOKUP(D158, 'Task Plan'!$A:$A, 'Task Plan'!$L:$L)), 0)</f>
        <v>0</v>
      </c>
      <c r="J158" s="1">
        <f>SUMIF($A:$A,A158,$G:$G)</f>
        <v>3</v>
      </c>
      <c r="K158" s="1"/>
    </row>
    <row r="159" spans="1:11" ht="32.1" customHeight="1">
      <c r="A159" s="1">
        <v>49</v>
      </c>
      <c r="B159" s="7">
        <v>46332</v>
      </c>
      <c r="C159" s="1">
        <v>3</v>
      </c>
      <c r="D159" s="1" t="s">
        <v>848</v>
      </c>
      <c r="E159" s="1" t="s">
        <v>192</v>
      </c>
      <c r="F159" s="8" t="s">
        <v>849</v>
      </c>
      <c r="G159" s="1">
        <v>0.5</v>
      </c>
      <c r="H159" s="1" t="str">
        <f>IFERROR(_xlfn.SINGLE(_xlfn.XLOOKUP(D159, 'Task Plan'!$A:$A, 'Task Plan'!$K:$K)), "")</f>
        <v>Not Started</v>
      </c>
      <c r="I159" s="6">
        <f>IFERROR(_xlfn.SINGLE(_xlfn.XLOOKUP(D159, 'Task Plan'!$A:$A, 'Task Plan'!$L:$L)), 0)</f>
        <v>0</v>
      </c>
      <c r="J159" s="1">
        <f>SUMIF($A:$A,A159,$G:$G)</f>
        <v>3</v>
      </c>
      <c r="K159" s="1"/>
    </row>
    <row r="160" spans="1:11" ht="32.1" customHeight="1">
      <c r="A160" s="1">
        <v>49</v>
      </c>
      <c r="B160" s="7">
        <v>46332</v>
      </c>
      <c r="C160" s="1">
        <v>3</v>
      </c>
      <c r="D160" s="1" t="s">
        <v>851</v>
      </c>
      <c r="E160" s="1" t="s">
        <v>192</v>
      </c>
      <c r="F160" s="8" t="s">
        <v>852</v>
      </c>
      <c r="G160" s="1">
        <v>1</v>
      </c>
      <c r="H160" s="1" t="str">
        <f>IFERROR(_xlfn.SINGLE(_xlfn.XLOOKUP(D160, 'Task Plan'!$A:$A, 'Task Plan'!$K:$K)), "")</f>
        <v>Not Started</v>
      </c>
      <c r="I160" s="6">
        <f>IFERROR(_xlfn.SINGLE(_xlfn.XLOOKUP(D160, 'Task Plan'!$A:$A, 'Task Plan'!$L:$L)), 0)</f>
        <v>0</v>
      </c>
      <c r="J160" s="1">
        <f>SUMIF($A:$A,A160,$G:$G)</f>
        <v>3</v>
      </c>
      <c r="K160" s="1"/>
    </row>
    <row r="161" spans="1:11" ht="32.1" customHeight="1">
      <c r="A161" s="1">
        <v>49</v>
      </c>
      <c r="B161" s="7">
        <v>46332</v>
      </c>
      <c r="C161" s="1">
        <v>3</v>
      </c>
      <c r="D161" s="1" t="s">
        <v>854</v>
      </c>
      <c r="E161" s="1" t="s">
        <v>192</v>
      </c>
      <c r="F161" s="8" t="s">
        <v>855</v>
      </c>
      <c r="G161" s="1">
        <v>0.5</v>
      </c>
      <c r="H161" s="1" t="str">
        <f>IFERROR(_xlfn.SINGLE(_xlfn.XLOOKUP(D161, 'Task Plan'!$A:$A, 'Task Plan'!$K:$K)), "")</f>
        <v>Not Started</v>
      </c>
      <c r="I161" s="6">
        <f>IFERROR(_xlfn.SINGLE(_xlfn.XLOOKUP(D161, 'Task Plan'!$A:$A, 'Task Plan'!$L:$L)), 0)</f>
        <v>0</v>
      </c>
      <c r="J161" s="1">
        <f>SUMIF($A:$A,A161,$G:$G)</f>
        <v>3</v>
      </c>
      <c r="K161" s="1"/>
    </row>
    <row r="162" spans="1:11" ht="32.1" customHeight="1">
      <c r="A162" s="1">
        <v>50</v>
      </c>
      <c r="B162" s="7">
        <v>46335</v>
      </c>
      <c r="C162" s="1">
        <v>3</v>
      </c>
      <c r="D162" s="1" t="s">
        <v>854</v>
      </c>
      <c r="E162" s="1" t="s">
        <v>192</v>
      </c>
      <c r="F162" s="8" t="s">
        <v>855</v>
      </c>
      <c r="G162" s="1">
        <v>0.5</v>
      </c>
      <c r="H162" s="1" t="str">
        <f>IFERROR(_xlfn.SINGLE(_xlfn.XLOOKUP(D162, 'Task Plan'!$A:$A, 'Task Plan'!$K:$K)), "")</f>
        <v>Not Started</v>
      </c>
      <c r="I162" s="6">
        <f>IFERROR(_xlfn.SINGLE(_xlfn.XLOOKUP(D162, 'Task Plan'!$A:$A, 'Task Plan'!$L:$L)), 0)</f>
        <v>0</v>
      </c>
      <c r="J162" s="1">
        <f>SUMIF($A:$A,A162,$G:$G)</f>
        <v>3</v>
      </c>
      <c r="K162" s="1"/>
    </row>
    <row r="163" spans="1:11" ht="32.1" customHeight="1">
      <c r="A163" s="1">
        <v>50</v>
      </c>
      <c r="B163" s="7">
        <v>46335</v>
      </c>
      <c r="C163" s="1">
        <v>3</v>
      </c>
      <c r="D163" s="1" t="s">
        <v>857</v>
      </c>
      <c r="E163" s="1" t="s">
        <v>192</v>
      </c>
      <c r="F163" s="8" t="s">
        <v>858</v>
      </c>
      <c r="G163" s="1">
        <v>1</v>
      </c>
      <c r="H163" s="1" t="str">
        <f>IFERROR(_xlfn.SINGLE(_xlfn.XLOOKUP(D163, 'Task Plan'!$A:$A, 'Task Plan'!$K:$K)), "")</f>
        <v>Not Started</v>
      </c>
      <c r="I163" s="6">
        <f>IFERROR(_xlfn.SINGLE(_xlfn.XLOOKUP(D163, 'Task Plan'!$A:$A, 'Task Plan'!$L:$L)), 0)</f>
        <v>0</v>
      </c>
      <c r="J163" s="1">
        <f>SUMIF($A:$A,A163,$G:$G)</f>
        <v>3</v>
      </c>
      <c r="K163" s="1"/>
    </row>
    <row r="164" spans="1:11" ht="32.1" customHeight="1">
      <c r="A164" s="1">
        <v>50</v>
      </c>
      <c r="B164" s="7">
        <v>46335</v>
      </c>
      <c r="C164" s="1">
        <v>3</v>
      </c>
      <c r="D164" s="1" t="s">
        <v>859</v>
      </c>
      <c r="E164" s="1" t="s">
        <v>192</v>
      </c>
      <c r="F164" s="8" t="s">
        <v>860</v>
      </c>
      <c r="G164" s="1">
        <v>1</v>
      </c>
      <c r="H164" s="1" t="str">
        <f>IFERROR(_xlfn.SINGLE(_xlfn.XLOOKUP(D164, 'Task Plan'!$A:$A, 'Task Plan'!$K:$K)), "")</f>
        <v>Not Started</v>
      </c>
      <c r="I164" s="6">
        <f>IFERROR(_xlfn.SINGLE(_xlfn.XLOOKUP(D164, 'Task Plan'!$A:$A, 'Task Plan'!$L:$L)), 0)</f>
        <v>0</v>
      </c>
      <c r="J164" s="1">
        <f>SUMIF($A:$A,A164,$G:$G)</f>
        <v>3</v>
      </c>
      <c r="K164" s="1"/>
    </row>
    <row r="165" spans="1:11" ht="32.1" customHeight="1">
      <c r="A165" s="1">
        <v>50</v>
      </c>
      <c r="B165" s="7">
        <v>46335</v>
      </c>
      <c r="C165" s="1">
        <v>3</v>
      </c>
      <c r="D165" s="1" t="s">
        <v>862</v>
      </c>
      <c r="E165" s="1" t="s">
        <v>192</v>
      </c>
      <c r="F165" s="8" t="s">
        <v>863</v>
      </c>
      <c r="G165" s="1">
        <v>0.5</v>
      </c>
      <c r="H165" s="1" t="str">
        <f>IFERROR(_xlfn.SINGLE(_xlfn.XLOOKUP(D165, 'Task Plan'!$A:$A, 'Task Plan'!$K:$K)), "")</f>
        <v>Not Started</v>
      </c>
      <c r="I165" s="6">
        <f>IFERROR(_xlfn.SINGLE(_xlfn.XLOOKUP(D165, 'Task Plan'!$A:$A, 'Task Plan'!$L:$L)), 0)</f>
        <v>0</v>
      </c>
      <c r="J165" s="1">
        <f>SUMIF($A:$A,A165,$G:$G)</f>
        <v>3</v>
      </c>
      <c r="K165" s="1"/>
    </row>
    <row r="166" spans="1:11" ht="32.1" customHeight="1">
      <c r="A166" s="1">
        <v>51</v>
      </c>
      <c r="B166" s="7">
        <v>46336</v>
      </c>
      <c r="C166" s="1">
        <v>2.5</v>
      </c>
      <c r="D166" s="1" t="s">
        <v>865</v>
      </c>
      <c r="E166" s="1" t="s">
        <v>192</v>
      </c>
      <c r="F166" s="8" t="s">
        <v>866</v>
      </c>
      <c r="G166" s="1">
        <v>1</v>
      </c>
      <c r="H166" s="1" t="str">
        <f>IFERROR(_xlfn.SINGLE(_xlfn.XLOOKUP(D166, 'Task Plan'!$A:$A, 'Task Plan'!$K:$K)), "")</f>
        <v>Not Started</v>
      </c>
      <c r="I166" s="6">
        <f>IFERROR(_xlfn.SINGLE(_xlfn.XLOOKUP(D166, 'Task Plan'!$A:$A, 'Task Plan'!$L:$L)), 0)</f>
        <v>0</v>
      </c>
      <c r="J166" s="1">
        <f>SUMIF($A:$A,A166,$G:$G)</f>
        <v>2.5</v>
      </c>
      <c r="K166" s="1"/>
    </row>
    <row r="167" spans="1:11" ht="32.1" customHeight="1">
      <c r="A167" s="1">
        <v>51</v>
      </c>
      <c r="B167" s="7">
        <v>46336</v>
      </c>
      <c r="C167" s="1">
        <v>2.5</v>
      </c>
      <c r="D167" s="1" t="s">
        <v>868</v>
      </c>
      <c r="E167" s="1" t="s">
        <v>192</v>
      </c>
      <c r="F167" s="8" t="s">
        <v>869</v>
      </c>
      <c r="G167" s="1">
        <v>0.5</v>
      </c>
      <c r="H167" s="1" t="str">
        <f>IFERROR(_xlfn.SINGLE(_xlfn.XLOOKUP(D167, 'Task Plan'!$A:$A, 'Task Plan'!$K:$K)), "")</f>
        <v>Not Started</v>
      </c>
      <c r="I167" s="6">
        <f>IFERROR(_xlfn.SINGLE(_xlfn.XLOOKUP(D167, 'Task Plan'!$A:$A, 'Task Plan'!$L:$L)), 0)</f>
        <v>0</v>
      </c>
      <c r="J167" s="1">
        <f>SUMIF($A:$A,A167,$G:$G)</f>
        <v>2.5</v>
      </c>
      <c r="K167" s="1"/>
    </row>
    <row r="168" spans="1:11" ht="32.1" customHeight="1">
      <c r="A168" s="1">
        <v>51</v>
      </c>
      <c r="B168" s="7">
        <v>46336</v>
      </c>
      <c r="C168" s="1">
        <v>2.5</v>
      </c>
      <c r="D168" s="1" t="s">
        <v>871</v>
      </c>
      <c r="E168" s="1" t="s">
        <v>192</v>
      </c>
      <c r="F168" s="8" t="s">
        <v>872</v>
      </c>
      <c r="G168" s="1">
        <v>1</v>
      </c>
      <c r="H168" s="1" t="str">
        <f>IFERROR(_xlfn.SINGLE(_xlfn.XLOOKUP(D168, 'Task Plan'!$A:$A, 'Task Plan'!$K:$K)), "")</f>
        <v>Not Started</v>
      </c>
      <c r="I168" s="6">
        <f>IFERROR(_xlfn.SINGLE(_xlfn.XLOOKUP(D168, 'Task Plan'!$A:$A, 'Task Plan'!$L:$L)), 0)</f>
        <v>0</v>
      </c>
      <c r="J168" s="1">
        <f>SUMIF($A:$A,A168,$G:$G)</f>
        <v>2.5</v>
      </c>
      <c r="K168" s="1"/>
    </row>
    <row r="169" spans="1:11" ht="32.1" customHeight="1">
      <c r="A169" s="1">
        <v>52</v>
      </c>
      <c r="B169" s="7">
        <v>46337</v>
      </c>
      <c r="C169" s="1">
        <v>3</v>
      </c>
      <c r="D169" s="1" t="s">
        <v>873</v>
      </c>
      <c r="E169" s="1" t="s">
        <v>192</v>
      </c>
      <c r="F169" s="8" t="s">
        <v>874</v>
      </c>
      <c r="G169" s="1">
        <v>1</v>
      </c>
      <c r="H169" s="1" t="str">
        <f>IFERROR(_xlfn.SINGLE(_xlfn.XLOOKUP(D169, 'Task Plan'!$A:$A, 'Task Plan'!$K:$K)), "")</f>
        <v>Not Started</v>
      </c>
      <c r="I169" s="6">
        <f>IFERROR(_xlfn.SINGLE(_xlfn.XLOOKUP(D169, 'Task Plan'!$A:$A, 'Task Plan'!$L:$L)), 0)</f>
        <v>0</v>
      </c>
      <c r="J169" s="1">
        <f>SUMIF($A:$A,A169,$G:$G)</f>
        <v>3</v>
      </c>
      <c r="K169" s="1"/>
    </row>
    <row r="170" spans="1:11" ht="32.1" customHeight="1">
      <c r="A170" s="1">
        <v>52</v>
      </c>
      <c r="B170" s="7">
        <v>46337</v>
      </c>
      <c r="C170" s="1">
        <v>3</v>
      </c>
      <c r="D170" s="1" t="s">
        <v>876</v>
      </c>
      <c r="E170" s="1" t="s">
        <v>192</v>
      </c>
      <c r="F170" s="8" t="s">
        <v>877</v>
      </c>
      <c r="G170" s="1">
        <v>0.5</v>
      </c>
      <c r="H170" s="1" t="str">
        <f>IFERROR(_xlfn.SINGLE(_xlfn.XLOOKUP(D170, 'Task Plan'!$A:$A, 'Task Plan'!$K:$K)), "")</f>
        <v>Not Started</v>
      </c>
      <c r="I170" s="6">
        <f>IFERROR(_xlfn.SINGLE(_xlfn.XLOOKUP(D170, 'Task Plan'!$A:$A, 'Task Plan'!$L:$L)), 0)</f>
        <v>0</v>
      </c>
      <c r="J170" s="1">
        <f>SUMIF($A:$A,A170,$G:$G)</f>
        <v>3</v>
      </c>
      <c r="K170" s="1"/>
    </row>
    <row r="171" spans="1:11" ht="32.1" customHeight="1">
      <c r="A171" s="1">
        <v>52</v>
      </c>
      <c r="B171" s="7">
        <v>46337</v>
      </c>
      <c r="C171" s="1">
        <v>3</v>
      </c>
      <c r="D171" s="1" t="s">
        <v>879</v>
      </c>
      <c r="E171" s="1" t="s">
        <v>192</v>
      </c>
      <c r="F171" s="8" t="s">
        <v>880</v>
      </c>
      <c r="G171" s="1">
        <v>1</v>
      </c>
      <c r="H171" s="1" t="str">
        <f>IFERROR(_xlfn.SINGLE(_xlfn.XLOOKUP(D171, 'Task Plan'!$A:$A, 'Task Plan'!$K:$K)), "")</f>
        <v>Not Started</v>
      </c>
      <c r="I171" s="6">
        <f>IFERROR(_xlfn.SINGLE(_xlfn.XLOOKUP(D171, 'Task Plan'!$A:$A, 'Task Plan'!$L:$L)), 0)</f>
        <v>0</v>
      </c>
      <c r="J171" s="1">
        <f>SUMIF($A:$A,A171,$G:$G)</f>
        <v>3</v>
      </c>
      <c r="K171" s="1"/>
    </row>
    <row r="172" spans="1:11" ht="32.1" customHeight="1">
      <c r="A172" s="1">
        <v>52</v>
      </c>
      <c r="B172" s="7">
        <v>46337</v>
      </c>
      <c r="C172" s="1">
        <v>3</v>
      </c>
      <c r="D172" s="1" t="s">
        <v>882</v>
      </c>
      <c r="E172" s="1" t="s">
        <v>192</v>
      </c>
      <c r="F172" s="8" t="s">
        <v>883</v>
      </c>
      <c r="G172" s="1">
        <v>0.5</v>
      </c>
      <c r="H172" s="1" t="str">
        <f>IFERROR(_xlfn.SINGLE(_xlfn.XLOOKUP(D172, 'Task Plan'!$A:$A, 'Task Plan'!$K:$K)), "")</f>
        <v>Not Started</v>
      </c>
      <c r="I172" s="6">
        <f>IFERROR(_xlfn.SINGLE(_xlfn.XLOOKUP(D172, 'Task Plan'!$A:$A, 'Task Plan'!$L:$L)), 0)</f>
        <v>0</v>
      </c>
      <c r="J172" s="1">
        <f>SUMIF($A:$A,A172,$G:$G)</f>
        <v>3</v>
      </c>
      <c r="K172" s="1"/>
    </row>
    <row r="173" spans="1:11" ht="32.1" customHeight="1">
      <c r="A173" s="1">
        <v>53</v>
      </c>
      <c r="B173" s="7">
        <v>46338</v>
      </c>
      <c r="C173" s="1">
        <v>2</v>
      </c>
      <c r="D173" s="1" t="s">
        <v>885</v>
      </c>
      <c r="E173" s="1" t="s">
        <v>192</v>
      </c>
      <c r="F173" s="8" t="s">
        <v>886</v>
      </c>
      <c r="G173" s="1">
        <v>2</v>
      </c>
      <c r="H173" s="1" t="str">
        <f>IFERROR(_xlfn.SINGLE(_xlfn.XLOOKUP(D173, 'Task Plan'!$A:$A, 'Task Plan'!$K:$K)), "")</f>
        <v>Not Started</v>
      </c>
      <c r="I173" s="6">
        <f>IFERROR(_xlfn.SINGLE(_xlfn.XLOOKUP(D173, 'Task Plan'!$A:$A, 'Task Plan'!$L:$L)), 0)</f>
        <v>0</v>
      </c>
      <c r="J173" s="1">
        <f>SUMIF($A:$A,A173,$G:$G)</f>
        <v>2</v>
      </c>
      <c r="K173" s="1"/>
    </row>
    <row r="174" spans="1:11" ht="32.1" customHeight="1">
      <c r="A174" s="1">
        <v>54</v>
      </c>
      <c r="B174" s="7">
        <v>46339</v>
      </c>
      <c r="C174" s="1">
        <v>2</v>
      </c>
      <c r="D174" s="1" t="s">
        <v>887</v>
      </c>
      <c r="E174" s="1" t="s">
        <v>192</v>
      </c>
      <c r="F174" s="8" t="s">
        <v>888</v>
      </c>
      <c r="G174" s="1">
        <v>1</v>
      </c>
      <c r="H174" s="1" t="str">
        <f>IFERROR(_xlfn.SINGLE(_xlfn.XLOOKUP(D174, 'Task Plan'!$A:$A, 'Task Plan'!$K:$K)), "")</f>
        <v>Not Started</v>
      </c>
      <c r="I174" s="6">
        <f>IFERROR(_xlfn.SINGLE(_xlfn.XLOOKUP(D174, 'Task Plan'!$A:$A, 'Task Plan'!$L:$L)), 0)</f>
        <v>0</v>
      </c>
      <c r="J174" s="1">
        <f>SUMIF($A:$A,A174,$G:$G)</f>
        <v>2</v>
      </c>
      <c r="K174" s="1"/>
    </row>
    <row r="175" spans="1:11" ht="32.1" customHeight="1">
      <c r="A175" s="1">
        <v>54</v>
      </c>
      <c r="B175" s="7">
        <v>46339</v>
      </c>
      <c r="C175" s="1">
        <v>2</v>
      </c>
      <c r="D175" s="1" t="s">
        <v>890</v>
      </c>
      <c r="E175" s="1" t="s">
        <v>192</v>
      </c>
      <c r="F175" s="8" t="s">
        <v>891</v>
      </c>
      <c r="G175" s="1">
        <v>0.5</v>
      </c>
      <c r="H175" s="1" t="str">
        <f>IFERROR(_xlfn.SINGLE(_xlfn.XLOOKUP(D175, 'Task Plan'!$A:$A, 'Task Plan'!$K:$K)), "")</f>
        <v>Not Started</v>
      </c>
      <c r="I175" s="6">
        <f>IFERROR(_xlfn.SINGLE(_xlfn.XLOOKUP(D175, 'Task Plan'!$A:$A, 'Task Plan'!$L:$L)), 0)</f>
        <v>0</v>
      </c>
      <c r="J175" s="1">
        <f>SUMIF($A:$A,A175,$G:$G)</f>
        <v>2</v>
      </c>
      <c r="K175" s="1"/>
    </row>
    <row r="176" spans="1:11" ht="32.1" customHeight="1">
      <c r="A176" s="1">
        <v>54</v>
      </c>
      <c r="B176" s="7">
        <v>46339</v>
      </c>
      <c r="C176" s="1">
        <v>2</v>
      </c>
      <c r="D176" s="1" t="s">
        <v>893</v>
      </c>
      <c r="E176" s="1" t="s">
        <v>192</v>
      </c>
      <c r="F176" s="8" t="s">
        <v>894</v>
      </c>
      <c r="G176" s="1">
        <v>0.5</v>
      </c>
      <c r="H176" s="1" t="str">
        <f>IFERROR(_xlfn.SINGLE(_xlfn.XLOOKUP(D176, 'Task Plan'!$A:$A, 'Task Plan'!$K:$K)), "")</f>
        <v>Not Started</v>
      </c>
      <c r="I176" s="6">
        <f>IFERROR(_xlfn.SINGLE(_xlfn.XLOOKUP(D176, 'Task Plan'!$A:$A, 'Task Plan'!$L:$L)), 0)</f>
        <v>0</v>
      </c>
      <c r="J176" s="1">
        <f>SUMIF($A:$A,A176,$G:$G)</f>
        <v>2</v>
      </c>
      <c r="K176" s="1"/>
    </row>
    <row r="177" spans="1:11" ht="32.1" customHeight="1">
      <c r="A177" s="1">
        <v>55</v>
      </c>
      <c r="B177" s="7">
        <v>46342</v>
      </c>
      <c r="C177" s="1">
        <v>2.5</v>
      </c>
      <c r="D177" s="1" t="s">
        <v>896</v>
      </c>
      <c r="E177" s="1" t="s">
        <v>192</v>
      </c>
      <c r="F177" s="8" t="s">
        <v>897</v>
      </c>
      <c r="G177" s="1">
        <v>1</v>
      </c>
      <c r="H177" s="1" t="str">
        <f>IFERROR(_xlfn.SINGLE(_xlfn.XLOOKUP(D177, 'Task Plan'!$A:$A, 'Task Plan'!$K:$K)), "")</f>
        <v>Not Started</v>
      </c>
      <c r="I177" s="6">
        <f>IFERROR(_xlfn.SINGLE(_xlfn.XLOOKUP(D177, 'Task Plan'!$A:$A, 'Task Plan'!$L:$L)), 0)</f>
        <v>0</v>
      </c>
      <c r="J177" s="1">
        <f>SUMIF($A:$A,A177,$G:$G)</f>
        <v>2.5</v>
      </c>
      <c r="K177" s="1"/>
    </row>
    <row r="178" spans="1:11" ht="32.1" customHeight="1">
      <c r="A178" s="1">
        <v>55</v>
      </c>
      <c r="B178" s="7">
        <v>46342</v>
      </c>
      <c r="C178" s="1">
        <v>2.5</v>
      </c>
      <c r="D178" s="1" t="s">
        <v>899</v>
      </c>
      <c r="E178" s="1" t="s">
        <v>192</v>
      </c>
      <c r="F178" s="8" t="s">
        <v>900</v>
      </c>
      <c r="G178" s="1">
        <v>1.5</v>
      </c>
      <c r="H178" s="1" t="str">
        <f>IFERROR(_xlfn.SINGLE(_xlfn.XLOOKUP(D178, 'Task Plan'!$A:$A, 'Task Plan'!$K:$K)), "")</f>
        <v>Not Started</v>
      </c>
      <c r="I178" s="6">
        <f>IFERROR(_xlfn.SINGLE(_xlfn.XLOOKUP(D178, 'Task Plan'!$A:$A, 'Task Plan'!$L:$L)), 0)</f>
        <v>0</v>
      </c>
      <c r="J178" s="1">
        <f>SUMIF($A:$A,A178,$G:$G)</f>
        <v>2.5</v>
      </c>
      <c r="K178" s="1"/>
    </row>
    <row r="179" spans="1:11" ht="32.1" customHeight="1">
      <c r="A179" s="1">
        <v>56</v>
      </c>
      <c r="B179" s="7">
        <v>46343</v>
      </c>
      <c r="C179" s="1">
        <v>2</v>
      </c>
      <c r="D179" s="1" t="s">
        <v>901</v>
      </c>
      <c r="E179" s="1" t="s">
        <v>192</v>
      </c>
      <c r="F179" s="8" t="s">
        <v>902</v>
      </c>
      <c r="G179" s="1">
        <v>1</v>
      </c>
      <c r="H179" s="1" t="str">
        <f>IFERROR(_xlfn.SINGLE(_xlfn.XLOOKUP(D179, 'Task Plan'!$A:$A, 'Task Plan'!$K:$K)), "")</f>
        <v>Not Started</v>
      </c>
      <c r="I179" s="6">
        <f>IFERROR(_xlfn.SINGLE(_xlfn.XLOOKUP(D179, 'Task Plan'!$A:$A, 'Task Plan'!$L:$L)), 0)</f>
        <v>0</v>
      </c>
      <c r="J179" s="1">
        <f>SUMIF($A:$A,A179,$G:$G)</f>
        <v>2</v>
      </c>
      <c r="K179" s="1"/>
    </row>
    <row r="180" spans="1:11" ht="32.1" customHeight="1">
      <c r="A180" s="1">
        <v>56</v>
      </c>
      <c r="B180" s="7">
        <v>46343</v>
      </c>
      <c r="C180" s="1">
        <v>2</v>
      </c>
      <c r="D180" s="1" t="s">
        <v>904</v>
      </c>
      <c r="E180" s="1" t="s">
        <v>192</v>
      </c>
      <c r="F180" s="8" t="s">
        <v>905</v>
      </c>
      <c r="G180" s="1">
        <v>0.5</v>
      </c>
      <c r="H180" s="1" t="str">
        <f>IFERROR(_xlfn.SINGLE(_xlfn.XLOOKUP(D180, 'Task Plan'!$A:$A, 'Task Plan'!$K:$K)), "")</f>
        <v>Not Started</v>
      </c>
      <c r="I180" s="6">
        <f>IFERROR(_xlfn.SINGLE(_xlfn.XLOOKUP(D180, 'Task Plan'!$A:$A, 'Task Plan'!$L:$L)), 0)</f>
        <v>0</v>
      </c>
      <c r="J180" s="1">
        <f>SUMIF($A:$A,A180,$G:$G)</f>
        <v>2</v>
      </c>
      <c r="K180" s="1"/>
    </row>
    <row r="181" spans="1:11" ht="32.1" customHeight="1">
      <c r="A181" s="1">
        <v>56</v>
      </c>
      <c r="B181" s="7">
        <v>46343</v>
      </c>
      <c r="C181" s="1">
        <v>2</v>
      </c>
      <c r="D181" s="1" t="s">
        <v>907</v>
      </c>
      <c r="E181" s="1" t="s">
        <v>224</v>
      </c>
      <c r="F181" s="8" t="s">
        <v>908</v>
      </c>
      <c r="G181" s="1">
        <v>0.5</v>
      </c>
      <c r="H181" s="1" t="str">
        <f>IFERROR(_xlfn.SINGLE(_xlfn.XLOOKUP(D181, 'Task Plan'!$A:$A, 'Task Plan'!$K:$K)), "")</f>
        <v>Not Started</v>
      </c>
      <c r="I181" s="6">
        <f>IFERROR(_xlfn.SINGLE(_xlfn.XLOOKUP(D181, 'Task Plan'!$A:$A, 'Task Plan'!$L:$L)), 0)</f>
        <v>0</v>
      </c>
      <c r="J181" s="1">
        <f>SUMIF($A:$A,A181,$G:$G)</f>
        <v>2</v>
      </c>
      <c r="K181" s="1"/>
    </row>
    <row r="182" spans="1:11" ht="32.1" customHeight="1">
      <c r="A182" s="1">
        <v>57</v>
      </c>
      <c r="B182" s="7">
        <v>46344</v>
      </c>
      <c r="C182" s="1">
        <v>2</v>
      </c>
      <c r="D182" s="1" t="s">
        <v>907</v>
      </c>
      <c r="E182" s="1" t="s">
        <v>224</v>
      </c>
      <c r="F182" s="8" t="s">
        <v>908</v>
      </c>
      <c r="G182" s="1">
        <v>0.5</v>
      </c>
      <c r="H182" s="1" t="str">
        <f>IFERROR(_xlfn.SINGLE(_xlfn.XLOOKUP(D182, 'Task Plan'!$A:$A, 'Task Plan'!$K:$K)), "")</f>
        <v>Not Started</v>
      </c>
      <c r="I182" s="6">
        <f>IFERROR(_xlfn.SINGLE(_xlfn.XLOOKUP(D182, 'Task Plan'!$A:$A, 'Task Plan'!$L:$L)), 0)</f>
        <v>0</v>
      </c>
      <c r="J182" s="1">
        <f>SUMIF($A:$A,A182,$G:$G)</f>
        <v>2</v>
      </c>
      <c r="K182" s="1"/>
    </row>
    <row r="183" spans="1:11" ht="32.1" customHeight="1">
      <c r="A183" s="1">
        <v>57</v>
      </c>
      <c r="B183" s="7">
        <v>46344</v>
      </c>
      <c r="C183" s="1">
        <v>2</v>
      </c>
      <c r="D183" s="1" t="s">
        <v>910</v>
      </c>
      <c r="E183" s="1" t="s">
        <v>224</v>
      </c>
      <c r="F183" s="8" t="s">
        <v>911</v>
      </c>
      <c r="G183" s="1">
        <v>1</v>
      </c>
      <c r="H183" s="1" t="str">
        <f>IFERROR(_xlfn.SINGLE(_xlfn.XLOOKUP(D183, 'Task Plan'!$A:$A, 'Task Plan'!$K:$K)), "")</f>
        <v>Not Started</v>
      </c>
      <c r="I183" s="6">
        <f>IFERROR(_xlfn.SINGLE(_xlfn.XLOOKUP(D183, 'Task Plan'!$A:$A, 'Task Plan'!$L:$L)), 0)</f>
        <v>0</v>
      </c>
      <c r="J183" s="1">
        <f>SUMIF($A:$A,A183,$G:$G)</f>
        <v>2</v>
      </c>
      <c r="K183" s="1"/>
    </row>
    <row r="184" spans="1:11" ht="32.1" customHeight="1">
      <c r="A184" s="1">
        <v>57</v>
      </c>
      <c r="B184" s="7">
        <v>46344</v>
      </c>
      <c r="C184" s="1">
        <v>2</v>
      </c>
      <c r="D184" s="1" t="s">
        <v>913</v>
      </c>
      <c r="E184" s="1" t="s">
        <v>224</v>
      </c>
      <c r="F184" s="8" t="s">
        <v>914</v>
      </c>
      <c r="G184" s="1">
        <v>0.5</v>
      </c>
      <c r="H184" s="1" t="str">
        <f>IFERROR(_xlfn.SINGLE(_xlfn.XLOOKUP(D184, 'Task Plan'!$A:$A, 'Task Plan'!$K:$K)), "")</f>
        <v>Not Started</v>
      </c>
      <c r="I184" s="6">
        <f>IFERROR(_xlfn.SINGLE(_xlfn.XLOOKUP(D184, 'Task Plan'!$A:$A, 'Task Plan'!$L:$L)), 0)</f>
        <v>0</v>
      </c>
      <c r="J184" s="1">
        <f>SUMIF($A:$A,A184,$G:$G)</f>
        <v>2</v>
      </c>
      <c r="K184" s="1"/>
    </row>
    <row r="185" spans="1:11" ht="32.1" customHeight="1">
      <c r="A185" s="1">
        <v>58</v>
      </c>
      <c r="B185" s="7">
        <v>46345</v>
      </c>
      <c r="C185" s="1">
        <v>3</v>
      </c>
      <c r="D185" s="1" t="s">
        <v>913</v>
      </c>
      <c r="E185" s="1" t="s">
        <v>224</v>
      </c>
      <c r="F185" s="8" t="s">
        <v>914</v>
      </c>
      <c r="G185" s="1">
        <v>1.5</v>
      </c>
      <c r="H185" s="1" t="str">
        <f>IFERROR(_xlfn.SINGLE(_xlfn.XLOOKUP(D185, 'Task Plan'!$A:$A, 'Task Plan'!$K:$K)), "")</f>
        <v>Not Started</v>
      </c>
      <c r="I185" s="6">
        <f>IFERROR(_xlfn.SINGLE(_xlfn.XLOOKUP(D185, 'Task Plan'!$A:$A, 'Task Plan'!$L:$L)), 0)</f>
        <v>0</v>
      </c>
      <c r="J185" s="1">
        <f>SUMIF($A:$A,A185,$G:$G)</f>
        <v>3</v>
      </c>
      <c r="K185" s="1"/>
    </row>
    <row r="186" spans="1:11" ht="32.1" customHeight="1">
      <c r="A186" s="1">
        <v>58</v>
      </c>
      <c r="B186" s="7">
        <v>46345</v>
      </c>
      <c r="C186" s="1">
        <v>3</v>
      </c>
      <c r="D186" s="1" t="s">
        <v>915</v>
      </c>
      <c r="E186" s="1" t="s">
        <v>224</v>
      </c>
      <c r="F186" s="8" t="s">
        <v>916</v>
      </c>
      <c r="G186" s="1">
        <v>1</v>
      </c>
      <c r="H186" s="1" t="str">
        <f>IFERROR(_xlfn.SINGLE(_xlfn.XLOOKUP(D186, 'Task Plan'!$A:$A, 'Task Plan'!$K:$K)), "")</f>
        <v>Not Started</v>
      </c>
      <c r="I186" s="6">
        <f>IFERROR(_xlfn.SINGLE(_xlfn.XLOOKUP(D186, 'Task Plan'!$A:$A, 'Task Plan'!$L:$L)), 0)</f>
        <v>0</v>
      </c>
      <c r="J186" s="1">
        <f>SUMIF($A:$A,A186,$G:$G)</f>
        <v>3</v>
      </c>
      <c r="K186" s="1"/>
    </row>
    <row r="187" spans="1:11" ht="32.1" customHeight="1">
      <c r="A187" s="1">
        <v>58</v>
      </c>
      <c r="B187" s="7">
        <v>46345</v>
      </c>
      <c r="C187" s="1">
        <v>3</v>
      </c>
      <c r="D187" s="1" t="s">
        <v>918</v>
      </c>
      <c r="E187" s="1" t="s">
        <v>224</v>
      </c>
      <c r="F187" s="8" t="s">
        <v>919</v>
      </c>
      <c r="G187" s="1">
        <v>0.5</v>
      </c>
      <c r="H187" s="1" t="str">
        <f>IFERROR(_xlfn.SINGLE(_xlfn.XLOOKUP(D187, 'Task Plan'!$A:$A, 'Task Plan'!$K:$K)), "")</f>
        <v>Not Started</v>
      </c>
      <c r="I187" s="6">
        <f>IFERROR(_xlfn.SINGLE(_xlfn.XLOOKUP(D187, 'Task Plan'!$A:$A, 'Task Plan'!$L:$L)), 0)</f>
        <v>0</v>
      </c>
      <c r="J187" s="1">
        <f>SUMIF($A:$A,A187,$G:$G)</f>
        <v>3</v>
      </c>
      <c r="K187" s="1"/>
    </row>
    <row r="188" spans="1:11" ht="32.1" customHeight="1">
      <c r="A188" s="1">
        <v>59</v>
      </c>
      <c r="B188" s="7">
        <v>46346</v>
      </c>
      <c r="C188" s="1">
        <v>3</v>
      </c>
      <c r="D188" s="1" t="s">
        <v>921</v>
      </c>
      <c r="E188" s="1" t="s">
        <v>224</v>
      </c>
      <c r="F188" s="8" t="s">
        <v>922</v>
      </c>
      <c r="G188" s="1">
        <v>1</v>
      </c>
      <c r="H188" s="1" t="str">
        <f>IFERROR(_xlfn.SINGLE(_xlfn.XLOOKUP(D188, 'Task Plan'!$A:$A, 'Task Plan'!$K:$K)), "")</f>
        <v>Not Started</v>
      </c>
      <c r="I188" s="6">
        <f>IFERROR(_xlfn.SINGLE(_xlfn.XLOOKUP(D188, 'Task Plan'!$A:$A, 'Task Plan'!$L:$L)), 0)</f>
        <v>0</v>
      </c>
      <c r="J188" s="1">
        <f>SUMIF($A:$A,A188,$G:$G)</f>
        <v>3</v>
      </c>
      <c r="K188" s="1"/>
    </row>
    <row r="189" spans="1:11" ht="32.1" customHeight="1">
      <c r="A189" s="1">
        <v>59</v>
      </c>
      <c r="B189" s="7">
        <v>46346</v>
      </c>
      <c r="C189" s="1">
        <v>3</v>
      </c>
      <c r="D189" s="1" t="s">
        <v>924</v>
      </c>
      <c r="E189" s="1" t="s">
        <v>224</v>
      </c>
      <c r="F189" s="8" t="s">
        <v>925</v>
      </c>
      <c r="G189" s="1">
        <v>0.5</v>
      </c>
      <c r="H189" s="1" t="str">
        <f>IFERROR(_xlfn.SINGLE(_xlfn.XLOOKUP(D189, 'Task Plan'!$A:$A, 'Task Plan'!$K:$K)), "")</f>
        <v>Not Started</v>
      </c>
      <c r="I189" s="6">
        <f>IFERROR(_xlfn.SINGLE(_xlfn.XLOOKUP(D189, 'Task Plan'!$A:$A, 'Task Plan'!$L:$L)), 0)</f>
        <v>0</v>
      </c>
      <c r="J189" s="1">
        <f>SUMIF($A:$A,A189,$G:$G)</f>
        <v>3</v>
      </c>
      <c r="K189" s="1"/>
    </row>
    <row r="190" spans="1:11" ht="32.1" customHeight="1">
      <c r="A190" s="1">
        <v>59</v>
      </c>
      <c r="B190" s="7">
        <v>46346</v>
      </c>
      <c r="C190" s="1">
        <v>3</v>
      </c>
      <c r="D190" s="1" t="s">
        <v>927</v>
      </c>
      <c r="E190" s="1" t="s">
        <v>224</v>
      </c>
      <c r="F190" s="8" t="s">
        <v>928</v>
      </c>
      <c r="G190" s="1">
        <v>1.5</v>
      </c>
      <c r="H190" s="1" t="str">
        <f>IFERROR(_xlfn.SINGLE(_xlfn.XLOOKUP(D190, 'Task Plan'!$A:$A, 'Task Plan'!$K:$K)), "")</f>
        <v>Not Started</v>
      </c>
      <c r="I190" s="6">
        <f>IFERROR(_xlfn.SINGLE(_xlfn.XLOOKUP(D190, 'Task Plan'!$A:$A, 'Task Plan'!$L:$L)), 0)</f>
        <v>0</v>
      </c>
      <c r="J190" s="1">
        <f>SUMIF($A:$A,A190,$G:$G)</f>
        <v>3</v>
      </c>
      <c r="K190" s="1"/>
    </row>
    <row r="191" spans="1:11" ht="32.1" customHeight="1">
      <c r="A191" s="1">
        <v>60</v>
      </c>
      <c r="B191" s="7">
        <v>46349</v>
      </c>
      <c r="C191" s="1">
        <v>2</v>
      </c>
      <c r="D191" s="1" t="s">
        <v>927</v>
      </c>
      <c r="E191" s="1" t="s">
        <v>224</v>
      </c>
      <c r="F191" s="8" t="s">
        <v>928</v>
      </c>
      <c r="G191" s="1">
        <v>0.5</v>
      </c>
      <c r="H191" s="1" t="str">
        <f>IFERROR(_xlfn.SINGLE(_xlfn.XLOOKUP(D191, 'Task Plan'!$A:$A, 'Task Plan'!$K:$K)), "")</f>
        <v>Not Started</v>
      </c>
      <c r="I191" s="6">
        <f>IFERROR(_xlfn.SINGLE(_xlfn.XLOOKUP(D191, 'Task Plan'!$A:$A, 'Task Plan'!$L:$L)), 0)</f>
        <v>0</v>
      </c>
      <c r="J191" s="1">
        <f>SUMIF($A:$A,A191,$G:$G)</f>
        <v>2</v>
      </c>
      <c r="K191" s="1"/>
    </row>
    <row r="192" spans="1:11" ht="32.1" customHeight="1">
      <c r="A192" s="1">
        <v>60</v>
      </c>
      <c r="B192" s="7">
        <v>46349</v>
      </c>
      <c r="C192" s="1">
        <v>2</v>
      </c>
      <c r="D192" s="1" t="s">
        <v>929</v>
      </c>
      <c r="E192" s="1" t="s">
        <v>224</v>
      </c>
      <c r="F192" s="8" t="s">
        <v>930</v>
      </c>
      <c r="G192" s="1">
        <v>1</v>
      </c>
      <c r="H192" s="1" t="str">
        <f>IFERROR(_xlfn.SINGLE(_xlfn.XLOOKUP(D192, 'Task Plan'!$A:$A, 'Task Plan'!$K:$K)), "")</f>
        <v>Not Started</v>
      </c>
      <c r="I192" s="6">
        <f>IFERROR(_xlfn.SINGLE(_xlfn.XLOOKUP(D192, 'Task Plan'!$A:$A, 'Task Plan'!$L:$L)), 0)</f>
        <v>0</v>
      </c>
      <c r="J192" s="1">
        <f>SUMIF($A:$A,A192,$G:$G)</f>
        <v>2</v>
      </c>
      <c r="K192" s="1"/>
    </row>
    <row r="193" spans="1:11" ht="32.1" customHeight="1">
      <c r="A193" s="1">
        <v>60</v>
      </c>
      <c r="B193" s="7">
        <v>46349</v>
      </c>
      <c r="C193" s="1">
        <v>2</v>
      </c>
      <c r="D193" s="1" t="s">
        <v>932</v>
      </c>
      <c r="E193" s="1" t="s">
        <v>224</v>
      </c>
      <c r="F193" s="8" t="s">
        <v>933</v>
      </c>
      <c r="G193" s="1">
        <v>0.5</v>
      </c>
      <c r="H193" s="1" t="str">
        <f>IFERROR(_xlfn.SINGLE(_xlfn.XLOOKUP(D193, 'Task Plan'!$A:$A, 'Task Plan'!$K:$K)), "")</f>
        <v>Not Started</v>
      </c>
      <c r="I193" s="6">
        <f>IFERROR(_xlfn.SINGLE(_xlfn.XLOOKUP(D193, 'Task Plan'!$A:$A, 'Task Plan'!$L:$L)), 0)</f>
        <v>0</v>
      </c>
      <c r="J193" s="1">
        <f>SUMIF($A:$A,A193,$G:$G)</f>
        <v>2</v>
      </c>
      <c r="K193" s="1"/>
    </row>
    <row r="194" spans="1:11" ht="32.1" customHeight="1">
      <c r="A194" s="1">
        <v>61</v>
      </c>
      <c r="B194" s="7">
        <v>46350</v>
      </c>
      <c r="C194" s="1">
        <v>2.5</v>
      </c>
      <c r="D194" s="1" t="s">
        <v>935</v>
      </c>
      <c r="E194" s="1" t="s">
        <v>224</v>
      </c>
      <c r="F194" s="8" t="s">
        <v>936</v>
      </c>
      <c r="G194" s="1">
        <v>1</v>
      </c>
      <c r="H194" s="1" t="str">
        <f>IFERROR(_xlfn.SINGLE(_xlfn.XLOOKUP(D194, 'Task Plan'!$A:$A, 'Task Plan'!$K:$K)), "")</f>
        <v>Not Started</v>
      </c>
      <c r="I194" s="6">
        <f>IFERROR(_xlfn.SINGLE(_xlfn.XLOOKUP(D194, 'Task Plan'!$A:$A, 'Task Plan'!$L:$L)), 0)</f>
        <v>0</v>
      </c>
      <c r="J194" s="1">
        <f>SUMIF($A:$A,A194,$G:$G)</f>
        <v>2.5</v>
      </c>
      <c r="K194" s="1"/>
    </row>
    <row r="195" spans="1:11" ht="32.1" customHeight="1">
      <c r="A195" s="1">
        <v>61</v>
      </c>
      <c r="B195" s="7">
        <v>46350</v>
      </c>
      <c r="C195" s="1">
        <v>2.5</v>
      </c>
      <c r="D195" s="1" t="s">
        <v>938</v>
      </c>
      <c r="E195" s="1" t="s">
        <v>224</v>
      </c>
      <c r="F195" s="8" t="s">
        <v>939</v>
      </c>
      <c r="G195" s="1">
        <v>1</v>
      </c>
      <c r="H195" s="1" t="str">
        <f>IFERROR(_xlfn.SINGLE(_xlfn.XLOOKUP(D195, 'Task Plan'!$A:$A, 'Task Plan'!$K:$K)), "")</f>
        <v>Not Started</v>
      </c>
      <c r="I195" s="6">
        <f>IFERROR(_xlfn.SINGLE(_xlfn.XLOOKUP(D195, 'Task Plan'!$A:$A, 'Task Plan'!$L:$L)), 0)</f>
        <v>0</v>
      </c>
      <c r="J195" s="1">
        <f>SUMIF($A:$A,A195,$G:$G)</f>
        <v>2.5</v>
      </c>
      <c r="K195" s="1"/>
    </row>
    <row r="196" spans="1:11" ht="32.1" customHeight="1">
      <c r="A196" s="1">
        <v>61</v>
      </c>
      <c r="B196" s="7">
        <v>46350</v>
      </c>
      <c r="C196" s="1">
        <v>2.5</v>
      </c>
      <c r="D196" s="1" t="s">
        <v>941</v>
      </c>
      <c r="E196" s="1" t="s">
        <v>224</v>
      </c>
      <c r="F196" s="8" t="s">
        <v>942</v>
      </c>
      <c r="G196" s="1">
        <v>0.5</v>
      </c>
      <c r="H196" s="1" t="str">
        <f>IFERROR(_xlfn.SINGLE(_xlfn.XLOOKUP(D196, 'Task Plan'!$A:$A, 'Task Plan'!$K:$K)), "")</f>
        <v>Not Started</v>
      </c>
      <c r="I196" s="6">
        <f>IFERROR(_xlfn.SINGLE(_xlfn.XLOOKUP(D196, 'Task Plan'!$A:$A, 'Task Plan'!$L:$L)), 0)</f>
        <v>0</v>
      </c>
      <c r="J196" s="1">
        <f>SUMIF($A:$A,A196,$G:$G)</f>
        <v>2.5</v>
      </c>
      <c r="K196" s="1"/>
    </row>
    <row r="197" spans="1:11" ht="32.1" customHeight="1">
      <c r="A197" s="1">
        <v>62</v>
      </c>
      <c r="B197" s="7">
        <v>46351</v>
      </c>
      <c r="C197" s="1">
        <v>2.5</v>
      </c>
      <c r="D197" s="1" t="s">
        <v>941</v>
      </c>
      <c r="E197" s="1" t="s">
        <v>224</v>
      </c>
      <c r="F197" s="8" t="s">
        <v>942</v>
      </c>
      <c r="G197" s="1">
        <v>0.5</v>
      </c>
      <c r="H197" s="1" t="str">
        <f>IFERROR(_xlfn.SINGLE(_xlfn.XLOOKUP(D197, 'Task Plan'!$A:$A, 'Task Plan'!$K:$K)), "")</f>
        <v>Not Started</v>
      </c>
      <c r="I197" s="6">
        <f>IFERROR(_xlfn.SINGLE(_xlfn.XLOOKUP(D197, 'Task Plan'!$A:$A, 'Task Plan'!$L:$L)), 0)</f>
        <v>0</v>
      </c>
      <c r="J197" s="1">
        <f>SUMIF($A:$A,A197,$G:$G)</f>
        <v>2.5</v>
      </c>
      <c r="K197" s="1"/>
    </row>
    <row r="198" spans="1:11" ht="32.1" customHeight="1">
      <c r="A198" s="1">
        <v>62</v>
      </c>
      <c r="B198" s="7">
        <v>46351</v>
      </c>
      <c r="C198" s="1">
        <v>2.5</v>
      </c>
      <c r="D198" s="1" t="s">
        <v>943</v>
      </c>
      <c r="E198" s="1" t="s">
        <v>224</v>
      </c>
      <c r="F198" s="8" t="s">
        <v>944</v>
      </c>
      <c r="G198" s="1">
        <v>1</v>
      </c>
      <c r="H198" s="1" t="str">
        <f>IFERROR(_xlfn.SINGLE(_xlfn.XLOOKUP(D198, 'Task Plan'!$A:$A, 'Task Plan'!$K:$K)), "")</f>
        <v>Not Started</v>
      </c>
      <c r="I198" s="6">
        <f>IFERROR(_xlfn.SINGLE(_xlfn.XLOOKUP(D198, 'Task Plan'!$A:$A, 'Task Plan'!$L:$L)), 0)</f>
        <v>0</v>
      </c>
      <c r="J198" s="1">
        <f>SUMIF($A:$A,A198,$G:$G)</f>
        <v>2.5</v>
      </c>
      <c r="K198" s="1"/>
    </row>
    <row r="199" spans="1:11" ht="32.1" customHeight="1">
      <c r="A199" s="1">
        <v>62</v>
      </c>
      <c r="B199" s="7">
        <v>46351</v>
      </c>
      <c r="C199" s="1">
        <v>2.5</v>
      </c>
      <c r="D199" s="1" t="s">
        <v>946</v>
      </c>
      <c r="E199" s="1" t="s">
        <v>224</v>
      </c>
      <c r="F199" s="8" t="s">
        <v>947</v>
      </c>
      <c r="G199" s="1">
        <v>0.5</v>
      </c>
      <c r="H199" s="1" t="str">
        <f>IFERROR(_xlfn.SINGLE(_xlfn.XLOOKUP(D199, 'Task Plan'!$A:$A, 'Task Plan'!$K:$K)), "")</f>
        <v>Not Started</v>
      </c>
      <c r="I199" s="6">
        <f>IFERROR(_xlfn.SINGLE(_xlfn.XLOOKUP(D199, 'Task Plan'!$A:$A, 'Task Plan'!$L:$L)), 0)</f>
        <v>0</v>
      </c>
      <c r="J199" s="1">
        <f>SUMIF($A:$A,A199,$G:$G)</f>
        <v>2.5</v>
      </c>
      <c r="K199" s="1"/>
    </row>
    <row r="200" spans="1:11" ht="32.1" customHeight="1">
      <c r="A200" s="1">
        <v>62</v>
      </c>
      <c r="B200" s="7">
        <v>46351</v>
      </c>
      <c r="C200" s="1">
        <v>2.5</v>
      </c>
      <c r="D200" s="1" t="s">
        <v>949</v>
      </c>
      <c r="E200" s="1" t="s">
        <v>224</v>
      </c>
      <c r="F200" s="8" t="s">
        <v>950</v>
      </c>
      <c r="G200" s="1">
        <v>0.5</v>
      </c>
      <c r="H200" s="1" t="str">
        <f>IFERROR(_xlfn.SINGLE(_xlfn.XLOOKUP(D200, 'Task Plan'!$A:$A, 'Task Plan'!$K:$K)), "")</f>
        <v>Not Started</v>
      </c>
      <c r="I200" s="6">
        <f>IFERROR(_xlfn.SINGLE(_xlfn.XLOOKUP(D200, 'Task Plan'!$A:$A, 'Task Plan'!$L:$L)), 0)</f>
        <v>0</v>
      </c>
      <c r="J200" s="1">
        <f>SUMIF($A:$A,A200,$G:$G)</f>
        <v>2.5</v>
      </c>
      <c r="K200" s="1"/>
    </row>
    <row r="201" spans="1:11" ht="32.1" customHeight="1">
      <c r="A201" s="1">
        <v>63</v>
      </c>
      <c r="B201" s="7">
        <v>46352</v>
      </c>
      <c r="C201" s="1">
        <v>3</v>
      </c>
      <c r="D201" s="1" t="s">
        <v>952</v>
      </c>
      <c r="E201" s="1" t="s">
        <v>224</v>
      </c>
      <c r="F201" s="8" t="s">
        <v>953</v>
      </c>
      <c r="G201" s="1">
        <v>1</v>
      </c>
      <c r="H201" s="1" t="str">
        <f>IFERROR(_xlfn.SINGLE(_xlfn.XLOOKUP(D201, 'Task Plan'!$A:$A, 'Task Plan'!$K:$K)), "")</f>
        <v>Not Started</v>
      </c>
      <c r="I201" s="6">
        <f>IFERROR(_xlfn.SINGLE(_xlfn.XLOOKUP(D201, 'Task Plan'!$A:$A, 'Task Plan'!$L:$L)), 0)</f>
        <v>0</v>
      </c>
      <c r="J201" s="1">
        <f>SUMIF($A:$A,A201,$G:$G)</f>
        <v>3</v>
      </c>
      <c r="K201" s="1"/>
    </row>
    <row r="202" spans="1:11" ht="32.1" customHeight="1">
      <c r="A202" s="1">
        <v>63</v>
      </c>
      <c r="B202" s="7">
        <v>46352</v>
      </c>
      <c r="C202" s="1">
        <v>3</v>
      </c>
      <c r="D202" s="1" t="s">
        <v>955</v>
      </c>
      <c r="E202" s="1" t="s">
        <v>224</v>
      </c>
      <c r="F202" s="8" t="s">
        <v>956</v>
      </c>
      <c r="G202" s="1">
        <v>1</v>
      </c>
      <c r="H202" s="1" t="str">
        <f>IFERROR(_xlfn.SINGLE(_xlfn.XLOOKUP(D202, 'Task Plan'!$A:$A, 'Task Plan'!$K:$K)), "")</f>
        <v>Not Started</v>
      </c>
      <c r="I202" s="6">
        <f>IFERROR(_xlfn.SINGLE(_xlfn.XLOOKUP(D202, 'Task Plan'!$A:$A, 'Task Plan'!$L:$L)), 0)</f>
        <v>0</v>
      </c>
      <c r="J202" s="1">
        <f>SUMIF($A:$A,A202,$G:$G)</f>
        <v>3</v>
      </c>
      <c r="K202" s="1"/>
    </row>
    <row r="203" spans="1:11" ht="32.1" customHeight="1">
      <c r="A203" s="1">
        <v>63</v>
      </c>
      <c r="B203" s="7">
        <v>46352</v>
      </c>
      <c r="C203" s="1">
        <v>3</v>
      </c>
      <c r="D203" s="1" t="s">
        <v>957</v>
      </c>
      <c r="E203" s="1" t="s">
        <v>224</v>
      </c>
      <c r="F203" s="8" t="s">
        <v>958</v>
      </c>
      <c r="G203" s="1">
        <v>1</v>
      </c>
      <c r="H203" s="1" t="str">
        <f>IFERROR(_xlfn.SINGLE(_xlfn.XLOOKUP(D203, 'Task Plan'!$A:$A, 'Task Plan'!$K:$K)), "")</f>
        <v>Not Started</v>
      </c>
      <c r="I203" s="6">
        <f>IFERROR(_xlfn.SINGLE(_xlfn.XLOOKUP(D203, 'Task Plan'!$A:$A, 'Task Plan'!$L:$L)), 0)</f>
        <v>0</v>
      </c>
      <c r="J203" s="1">
        <f>SUMIF($A:$A,A203,$G:$G)</f>
        <v>3</v>
      </c>
      <c r="K203" s="1"/>
    </row>
    <row r="204" spans="1:11" ht="32.1" customHeight="1">
      <c r="A204" s="1">
        <v>64</v>
      </c>
      <c r="B204" s="7">
        <v>46353</v>
      </c>
      <c r="C204" s="1">
        <v>2</v>
      </c>
      <c r="D204" s="1" t="s">
        <v>960</v>
      </c>
      <c r="E204" s="1" t="s">
        <v>224</v>
      </c>
      <c r="F204" s="8" t="s">
        <v>961</v>
      </c>
      <c r="G204" s="1">
        <v>0.5</v>
      </c>
      <c r="H204" s="1" t="str">
        <f>IFERROR(_xlfn.SINGLE(_xlfn.XLOOKUP(D204, 'Task Plan'!$A:$A, 'Task Plan'!$K:$K)), "")</f>
        <v>Not Started</v>
      </c>
      <c r="I204" s="6">
        <f>IFERROR(_xlfn.SINGLE(_xlfn.XLOOKUP(D204, 'Task Plan'!$A:$A, 'Task Plan'!$L:$L)), 0)</f>
        <v>0</v>
      </c>
      <c r="J204" s="1">
        <f>SUMIF($A:$A,A204,$G:$G)</f>
        <v>2</v>
      </c>
      <c r="K204" s="1"/>
    </row>
    <row r="205" spans="1:11" ht="32.1" customHeight="1">
      <c r="A205" s="1">
        <v>64</v>
      </c>
      <c r="B205" s="7">
        <v>46353</v>
      </c>
      <c r="C205" s="1">
        <v>2</v>
      </c>
      <c r="D205" s="1" t="s">
        <v>963</v>
      </c>
      <c r="E205" s="1" t="s">
        <v>224</v>
      </c>
      <c r="F205" s="8" t="s">
        <v>964</v>
      </c>
      <c r="G205" s="1">
        <v>1</v>
      </c>
      <c r="H205" s="1" t="str">
        <f>IFERROR(_xlfn.SINGLE(_xlfn.XLOOKUP(D205, 'Task Plan'!$A:$A, 'Task Plan'!$K:$K)), "")</f>
        <v>Not Started</v>
      </c>
      <c r="I205" s="6">
        <f>IFERROR(_xlfn.SINGLE(_xlfn.XLOOKUP(D205, 'Task Plan'!$A:$A, 'Task Plan'!$L:$L)), 0)</f>
        <v>0</v>
      </c>
      <c r="J205" s="1">
        <f>SUMIF($A:$A,A205,$G:$G)</f>
        <v>2</v>
      </c>
      <c r="K205" s="1"/>
    </row>
    <row r="206" spans="1:11" ht="32.1" customHeight="1">
      <c r="A206" s="1">
        <v>64</v>
      </c>
      <c r="B206" s="7">
        <v>46353</v>
      </c>
      <c r="C206" s="1">
        <v>2</v>
      </c>
      <c r="D206" s="1" t="s">
        <v>966</v>
      </c>
      <c r="E206" s="1" t="s">
        <v>224</v>
      </c>
      <c r="F206" s="8" t="s">
        <v>967</v>
      </c>
      <c r="G206" s="1">
        <v>0.5</v>
      </c>
      <c r="H206" s="1" t="str">
        <f>IFERROR(_xlfn.SINGLE(_xlfn.XLOOKUP(D206, 'Task Plan'!$A:$A, 'Task Plan'!$K:$K)), "")</f>
        <v>Not Started</v>
      </c>
      <c r="I206" s="6">
        <f>IFERROR(_xlfn.SINGLE(_xlfn.XLOOKUP(D206, 'Task Plan'!$A:$A, 'Task Plan'!$L:$L)), 0)</f>
        <v>0</v>
      </c>
      <c r="J206" s="1">
        <f>SUMIF($A:$A,A206,$G:$G)</f>
        <v>2</v>
      </c>
      <c r="K206" s="1"/>
    </row>
    <row r="207" spans="1:11" ht="32.1" customHeight="1">
      <c r="A207" s="1">
        <v>65</v>
      </c>
      <c r="B207" s="7">
        <v>46356</v>
      </c>
      <c r="C207" s="1">
        <v>3</v>
      </c>
      <c r="D207" s="1" t="s">
        <v>966</v>
      </c>
      <c r="E207" s="1" t="s">
        <v>224</v>
      </c>
      <c r="F207" s="8" t="s">
        <v>967</v>
      </c>
      <c r="G207" s="1">
        <v>0.5</v>
      </c>
      <c r="H207" s="1" t="str">
        <f>IFERROR(_xlfn.SINGLE(_xlfn.XLOOKUP(D207, 'Task Plan'!$A:$A, 'Task Plan'!$K:$K)), "")</f>
        <v>Not Started</v>
      </c>
      <c r="I207" s="6">
        <f>IFERROR(_xlfn.SINGLE(_xlfn.XLOOKUP(D207, 'Task Plan'!$A:$A, 'Task Plan'!$L:$L)), 0)</f>
        <v>0</v>
      </c>
      <c r="J207" s="1">
        <f>SUMIF($A:$A,A207,$G:$G)</f>
        <v>3</v>
      </c>
      <c r="K207" s="1"/>
    </row>
    <row r="208" spans="1:11" ht="32.1" customHeight="1">
      <c r="A208" s="1">
        <v>65</v>
      </c>
      <c r="B208" s="7">
        <v>46356</v>
      </c>
      <c r="C208" s="1">
        <v>3</v>
      </c>
      <c r="D208" s="1" t="s">
        <v>969</v>
      </c>
      <c r="E208" s="1" t="s">
        <v>224</v>
      </c>
      <c r="F208" s="8" t="s">
        <v>970</v>
      </c>
      <c r="G208" s="1">
        <v>1</v>
      </c>
      <c r="H208" s="1" t="str">
        <f>IFERROR(_xlfn.SINGLE(_xlfn.XLOOKUP(D208, 'Task Plan'!$A:$A, 'Task Plan'!$K:$K)), "")</f>
        <v>Not Started</v>
      </c>
      <c r="I208" s="6">
        <f>IFERROR(_xlfn.SINGLE(_xlfn.XLOOKUP(D208, 'Task Plan'!$A:$A, 'Task Plan'!$L:$L)), 0)</f>
        <v>0</v>
      </c>
      <c r="J208" s="1">
        <f>SUMIF($A:$A,A208,$G:$G)</f>
        <v>3</v>
      </c>
      <c r="K208" s="1"/>
    </row>
    <row r="209" spans="1:11" ht="32.1" customHeight="1">
      <c r="A209" s="1">
        <v>65</v>
      </c>
      <c r="B209" s="7">
        <v>46356</v>
      </c>
      <c r="C209" s="1">
        <v>3</v>
      </c>
      <c r="D209" s="1" t="s">
        <v>971</v>
      </c>
      <c r="E209" s="1" t="s">
        <v>224</v>
      </c>
      <c r="F209" s="8" t="s">
        <v>972</v>
      </c>
      <c r="G209" s="1">
        <v>1</v>
      </c>
      <c r="H209" s="1" t="str">
        <f>IFERROR(_xlfn.SINGLE(_xlfn.XLOOKUP(D209, 'Task Plan'!$A:$A, 'Task Plan'!$K:$K)), "")</f>
        <v>Not Started</v>
      </c>
      <c r="I209" s="6">
        <f>IFERROR(_xlfn.SINGLE(_xlfn.XLOOKUP(D209, 'Task Plan'!$A:$A, 'Task Plan'!$L:$L)), 0)</f>
        <v>0</v>
      </c>
      <c r="J209" s="1">
        <f>SUMIF($A:$A,A209,$G:$G)</f>
        <v>3</v>
      </c>
      <c r="K209" s="1"/>
    </row>
    <row r="210" spans="1:11" ht="32.1" customHeight="1">
      <c r="A210" s="1">
        <v>65</v>
      </c>
      <c r="B210" s="7">
        <v>46356</v>
      </c>
      <c r="C210" s="1">
        <v>3</v>
      </c>
      <c r="D210" s="1" t="s">
        <v>974</v>
      </c>
      <c r="E210" s="1" t="s">
        <v>224</v>
      </c>
      <c r="F210" s="8" t="s">
        <v>975</v>
      </c>
      <c r="G210" s="1">
        <v>0.5</v>
      </c>
      <c r="H210" s="1" t="str">
        <f>IFERROR(_xlfn.SINGLE(_xlfn.XLOOKUP(D210, 'Task Plan'!$A:$A, 'Task Plan'!$K:$K)), "")</f>
        <v>Not Started</v>
      </c>
      <c r="I210" s="6">
        <f>IFERROR(_xlfn.SINGLE(_xlfn.XLOOKUP(D210, 'Task Plan'!$A:$A, 'Task Plan'!$L:$L)), 0)</f>
        <v>0</v>
      </c>
      <c r="J210" s="1">
        <f>SUMIF($A:$A,A210,$G:$G)</f>
        <v>3</v>
      </c>
      <c r="K210" s="1"/>
    </row>
    <row r="211" spans="1:11" ht="32.1" customHeight="1">
      <c r="A211" s="1">
        <v>66</v>
      </c>
      <c r="B211" s="7">
        <v>46357</v>
      </c>
      <c r="C211" s="1">
        <v>2.5</v>
      </c>
      <c r="D211" s="1" t="s">
        <v>977</v>
      </c>
      <c r="E211" s="1" t="s">
        <v>224</v>
      </c>
      <c r="F211" s="8" t="s">
        <v>978</v>
      </c>
      <c r="G211" s="1">
        <v>1</v>
      </c>
      <c r="H211" s="1" t="str">
        <f>IFERROR(_xlfn.SINGLE(_xlfn.XLOOKUP(D211, 'Task Plan'!$A:$A, 'Task Plan'!$K:$K)), "")</f>
        <v>Not Started</v>
      </c>
      <c r="I211" s="6">
        <f>IFERROR(_xlfn.SINGLE(_xlfn.XLOOKUP(D211, 'Task Plan'!$A:$A, 'Task Plan'!$L:$L)), 0)</f>
        <v>0</v>
      </c>
      <c r="J211" s="1">
        <f>SUMIF($A:$A,A211,$G:$G)</f>
        <v>2.5</v>
      </c>
      <c r="K211" s="1"/>
    </row>
    <row r="212" spans="1:11" ht="32.1" customHeight="1">
      <c r="A212" s="1">
        <v>66</v>
      </c>
      <c r="B212" s="7">
        <v>46357</v>
      </c>
      <c r="C212" s="1">
        <v>2.5</v>
      </c>
      <c r="D212" s="1" t="s">
        <v>980</v>
      </c>
      <c r="E212" s="1" t="s">
        <v>224</v>
      </c>
      <c r="F212" s="8" t="s">
        <v>981</v>
      </c>
      <c r="G212" s="1">
        <v>1</v>
      </c>
      <c r="H212" s="1" t="str">
        <f>IFERROR(_xlfn.SINGLE(_xlfn.XLOOKUP(D212, 'Task Plan'!$A:$A, 'Task Plan'!$K:$K)), "")</f>
        <v>Not Started</v>
      </c>
      <c r="I212" s="6">
        <f>IFERROR(_xlfn.SINGLE(_xlfn.XLOOKUP(D212, 'Task Plan'!$A:$A, 'Task Plan'!$L:$L)), 0)</f>
        <v>0</v>
      </c>
      <c r="J212" s="1">
        <f>SUMIF($A:$A,A212,$G:$G)</f>
        <v>2.5</v>
      </c>
      <c r="K212" s="1"/>
    </row>
    <row r="213" spans="1:11" ht="32.1" customHeight="1">
      <c r="A213" s="1">
        <v>66</v>
      </c>
      <c r="B213" s="7">
        <v>46357</v>
      </c>
      <c r="C213" s="1">
        <v>2.5</v>
      </c>
      <c r="D213" s="1" t="s">
        <v>983</v>
      </c>
      <c r="E213" s="1" t="s">
        <v>224</v>
      </c>
      <c r="F213" s="8" t="s">
        <v>984</v>
      </c>
      <c r="G213" s="1">
        <v>0.5</v>
      </c>
      <c r="H213" s="1" t="str">
        <f>IFERROR(_xlfn.SINGLE(_xlfn.XLOOKUP(D213, 'Task Plan'!$A:$A, 'Task Plan'!$K:$K)), "")</f>
        <v>Not Started</v>
      </c>
      <c r="I213" s="6">
        <f>IFERROR(_xlfn.SINGLE(_xlfn.XLOOKUP(D213, 'Task Plan'!$A:$A, 'Task Plan'!$L:$L)), 0)</f>
        <v>0</v>
      </c>
      <c r="J213" s="1">
        <f>SUMIF($A:$A,A213,$G:$G)</f>
        <v>2.5</v>
      </c>
      <c r="K213" s="1"/>
    </row>
    <row r="214" spans="1:11" ht="32.1" customHeight="1">
      <c r="A214" s="1">
        <v>67</v>
      </c>
      <c r="B214" s="7">
        <v>46358</v>
      </c>
      <c r="C214" s="1">
        <v>2</v>
      </c>
      <c r="D214" s="1" t="s">
        <v>983</v>
      </c>
      <c r="E214" s="1" t="s">
        <v>224</v>
      </c>
      <c r="F214" s="8" t="s">
        <v>984</v>
      </c>
      <c r="G214" s="1">
        <v>1.5</v>
      </c>
      <c r="H214" s="1" t="str">
        <f>IFERROR(_xlfn.SINGLE(_xlfn.XLOOKUP(D214, 'Task Plan'!$A:$A, 'Task Plan'!$K:$K)), "")</f>
        <v>Not Started</v>
      </c>
      <c r="I214" s="6">
        <f>IFERROR(_xlfn.SINGLE(_xlfn.XLOOKUP(D214, 'Task Plan'!$A:$A, 'Task Plan'!$L:$L)), 0)</f>
        <v>0</v>
      </c>
      <c r="J214" s="1">
        <f>SUMIF($A:$A,A214,$G:$G)</f>
        <v>2</v>
      </c>
      <c r="K214" s="1"/>
    </row>
    <row r="215" spans="1:11" ht="32.1" customHeight="1">
      <c r="A215" s="1">
        <v>67</v>
      </c>
      <c r="B215" s="7">
        <v>46358</v>
      </c>
      <c r="C215" s="1">
        <v>2</v>
      </c>
      <c r="D215" s="1" t="s">
        <v>985</v>
      </c>
      <c r="E215" s="1" t="s">
        <v>224</v>
      </c>
      <c r="F215" s="8" t="s">
        <v>986</v>
      </c>
      <c r="G215" s="1">
        <v>0.5</v>
      </c>
      <c r="H215" s="1" t="str">
        <f>IFERROR(_xlfn.SINGLE(_xlfn.XLOOKUP(D215, 'Task Plan'!$A:$A, 'Task Plan'!$K:$K)), "")</f>
        <v>Not Started</v>
      </c>
      <c r="I215" s="6">
        <f>IFERROR(_xlfn.SINGLE(_xlfn.XLOOKUP(D215, 'Task Plan'!$A:$A, 'Task Plan'!$L:$L)), 0)</f>
        <v>0</v>
      </c>
      <c r="J215" s="1">
        <f>SUMIF($A:$A,A215,$G:$G)</f>
        <v>2</v>
      </c>
      <c r="K215" s="1"/>
    </row>
    <row r="216" spans="1:11" ht="32.1" customHeight="1">
      <c r="A216" s="1">
        <v>68</v>
      </c>
      <c r="B216" s="7">
        <v>46359</v>
      </c>
      <c r="C216" s="1">
        <v>3</v>
      </c>
      <c r="D216" s="1" t="s">
        <v>985</v>
      </c>
      <c r="E216" s="1" t="s">
        <v>224</v>
      </c>
      <c r="F216" s="8" t="s">
        <v>986</v>
      </c>
      <c r="G216" s="1">
        <v>0.5</v>
      </c>
      <c r="H216" s="1" t="str">
        <f>IFERROR(_xlfn.SINGLE(_xlfn.XLOOKUP(D216, 'Task Plan'!$A:$A, 'Task Plan'!$K:$K)), "")</f>
        <v>Not Started</v>
      </c>
      <c r="I216" s="6">
        <f>IFERROR(_xlfn.SINGLE(_xlfn.XLOOKUP(D216, 'Task Plan'!$A:$A, 'Task Plan'!$L:$L)), 0)</f>
        <v>0</v>
      </c>
      <c r="J216" s="1">
        <f>SUMIF($A:$A,A216,$G:$G)</f>
        <v>3</v>
      </c>
      <c r="K216" s="1"/>
    </row>
    <row r="217" spans="1:11" ht="32.1" customHeight="1">
      <c r="A217" s="1">
        <v>68</v>
      </c>
      <c r="B217" s="7">
        <v>46359</v>
      </c>
      <c r="C217" s="1">
        <v>3</v>
      </c>
      <c r="D217" s="1" t="s">
        <v>988</v>
      </c>
      <c r="E217" s="1" t="s">
        <v>224</v>
      </c>
      <c r="F217" s="8" t="s">
        <v>989</v>
      </c>
      <c r="G217" s="1">
        <v>0.5</v>
      </c>
      <c r="H217" s="1" t="str">
        <f>IFERROR(_xlfn.SINGLE(_xlfn.XLOOKUP(D217, 'Task Plan'!$A:$A, 'Task Plan'!$K:$K)), "")</f>
        <v>Not Started</v>
      </c>
      <c r="I217" s="6">
        <f>IFERROR(_xlfn.SINGLE(_xlfn.XLOOKUP(D217, 'Task Plan'!$A:$A, 'Task Plan'!$L:$L)), 0)</f>
        <v>0</v>
      </c>
      <c r="J217" s="1">
        <f>SUMIF($A:$A,A217,$G:$G)</f>
        <v>3</v>
      </c>
      <c r="K217" s="1"/>
    </row>
    <row r="218" spans="1:11" ht="32.1" customHeight="1">
      <c r="A218" s="1">
        <v>68</v>
      </c>
      <c r="B218" s="7">
        <v>46359</v>
      </c>
      <c r="C218" s="1">
        <v>3</v>
      </c>
      <c r="D218" s="1" t="s">
        <v>991</v>
      </c>
      <c r="E218" s="1" t="s">
        <v>255</v>
      </c>
      <c r="F218" s="8" t="s">
        <v>992</v>
      </c>
      <c r="G218" s="1">
        <v>0.5</v>
      </c>
      <c r="H218" s="1" t="str">
        <f>IFERROR(_xlfn.SINGLE(_xlfn.XLOOKUP(D218, 'Task Plan'!$A:$A, 'Task Plan'!$K:$K)), "")</f>
        <v>Not Started</v>
      </c>
      <c r="I218" s="6">
        <f>IFERROR(_xlfn.SINGLE(_xlfn.XLOOKUP(D218, 'Task Plan'!$A:$A, 'Task Plan'!$L:$L)), 0)</f>
        <v>0</v>
      </c>
      <c r="J218" s="1">
        <f>SUMIF($A:$A,A218,$G:$G)</f>
        <v>3</v>
      </c>
      <c r="K218" s="1"/>
    </row>
    <row r="219" spans="1:11" ht="32.1" customHeight="1">
      <c r="A219" s="1">
        <v>68</v>
      </c>
      <c r="B219" s="7">
        <v>46359</v>
      </c>
      <c r="C219" s="1">
        <v>3</v>
      </c>
      <c r="D219" s="1" t="s">
        <v>994</v>
      </c>
      <c r="E219" s="1" t="s">
        <v>255</v>
      </c>
      <c r="F219" s="8" t="s">
        <v>995</v>
      </c>
      <c r="G219" s="1">
        <v>0.5</v>
      </c>
      <c r="H219" s="1" t="str">
        <f>IFERROR(_xlfn.SINGLE(_xlfn.XLOOKUP(D219, 'Task Plan'!$A:$A, 'Task Plan'!$K:$K)), "")</f>
        <v>Not Started</v>
      </c>
      <c r="I219" s="6">
        <f>IFERROR(_xlfn.SINGLE(_xlfn.XLOOKUP(D219, 'Task Plan'!$A:$A, 'Task Plan'!$L:$L)), 0)</f>
        <v>0</v>
      </c>
      <c r="J219" s="1">
        <f>SUMIF($A:$A,A219,$G:$G)</f>
        <v>3</v>
      </c>
      <c r="K219" s="1"/>
    </row>
    <row r="220" spans="1:11" ht="32.1" customHeight="1">
      <c r="A220" s="1">
        <v>68</v>
      </c>
      <c r="B220" s="7">
        <v>46359</v>
      </c>
      <c r="C220" s="1">
        <v>3</v>
      </c>
      <c r="D220" s="1" t="s">
        <v>997</v>
      </c>
      <c r="E220" s="1" t="s">
        <v>255</v>
      </c>
      <c r="F220" s="8" t="s">
        <v>998</v>
      </c>
      <c r="G220" s="1">
        <v>1</v>
      </c>
      <c r="H220" s="1" t="str">
        <f>IFERROR(_xlfn.SINGLE(_xlfn.XLOOKUP(D220, 'Task Plan'!$A:$A, 'Task Plan'!$K:$K)), "")</f>
        <v>Not Started</v>
      </c>
      <c r="I220" s="6">
        <f>IFERROR(_xlfn.SINGLE(_xlfn.XLOOKUP(D220, 'Task Plan'!$A:$A, 'Task Plan'!$L:$L)), 0)</f>
        <v>0</v>
      </c>
      <c r="J220" s="1">
        <f>SUMIF($A:$A,A220,$G:$G)</f>
        <v>3</v>
      </c>
      <c r="K220" s="1"/>
    </row>
    <row r="221" spans="1:11" ht="32.1" customHeight="1">
      <c r="A221" s="1">
        <v>69</v>
      </c>
      <c r="B221" s="7">
        <v>46360</v>
      </c>
      <c r="C221" s="1">
        <v>3</v>
      </c>
      <c r="D221" s="1" t="s">
        <v>997</v>
      </c>
      <c r="E221" s="1" t="s">
        <v>255</v>
      </c>
      <c r="F221" s="8" t="s">
        <v>998</v>
      </c>
      <c r="G221" s="1">
        <v>0.5</v>
      </c>
      <c r="H221" s="1" t="str">
        <f>IFERROR(_xlfn.SINGLE(_xlfn.XLOOKUP(D221, 'Task Plan'!$A:$A, 'Task Plan'!$K:$K)), "")</f>
        <v>Not Started</v>
      </c>
      <c r="I221" s="6">
        <f>IFERROR(_xlfn.SINGLE(_xlfn.XLOOKUP(D221, 'Task Plan'!$A:$A, 'Task Plan'!$L:$L)), 0)</f>
        <v>0</v>
      </c>
      <c r="J221" s="1">
        <f>SUMIF($A:$A,A221,$G:$G)</f>
        <v>3</v>
      </c>
      <c r="K221" s="1"/>
    </row>
    <row r="222" spans="1:11" ht="32.1" customHeight="1">
      <c r="A222" s="1">
        <v>69</v>
      </c>
      <c r="B222" s="7">
        <v>46360</v>
      </c>
      <c r="C222" s="1">
        <v>3</v>
      </c>
      <c r="D222" s="1" t="s">
        <v>999</v>
      </c>
      <c r="E222" s="1" t="s">
        <v>255</v>
      </c>
      <c r="F222" s="8" t="s">
        <v>1000</v>
      </c>
      <c r="G222" s="1">
        <v>1</v>
      </c>
      <c r="H222" s="1" t="str">
        <f>IFERROR(_xlfn.SINGLE(_xlfn.XLOOKUP(D222, 'Task Plan'!$A:$A, 'Task Plan'!$K:$K)), "")</f>
        <v>Not Started</v>
      </c>
      <c r="I222" s="6">
        <f>IFERROR(_xlfn.SINGLE(_xlfn.XLOOKUP(D222, 'Task Plan'!$A:$A, 'Task Plan'!$L:$L)), 0)</f>
        <v>0</v>
      </c>
      <c r="J222" s="1">
        <f>SUMIF($A:$A,A222,$G:$G)</f>
        <v>3</v>
      </c>
      <c r="K222" s="1"/>
    </row>
    <row r="223" spans="1:11" ht="32.1" customHeight="1">
      <c r="A223" s="1">
        <v>69</v>
      </c>
      <c r="B223" s="7">
        <v>46360</v>
      </c>
      <c r="C223" s="1">
        <v>3</v>
      </c>
      <c r="D223" s="1" t="s">
        <v>1002</v>
      </c>
      <c r="E223" s="1" t="s">
        <v>255</v>
      </c>
      <c r="F223" s="8" t="s">
        <v>1003</v>
      </c>
      <c r="G223" s="1">
        <v>0.5</v>
      </c>
      <c r="H223" s="1" t="str">
        <f>IFERROR(_xlfn.SINGLE(_xlfn.XLOOKUP(D223, 'Task Plan'!$A:$A, 'Task Plan'!$K:$K)), "")</f>
        <v>Not Started</v>
      </c>
      <c r="I223" s="6">
        <f>IFERROR(_xlfn.SINGLE(_xlfn.XLOOKUP(D223, 'Task Plan'!$A:$A, 'Task Plan'!$L:$L)), 0)</f>
        <v>0</v>
      </c>
      <c r="J223" s="1">
        <f>SUMIF($A:$A,A223,$G:$G)</f>
        <v>3</v>
      </c>
      <c r="K223" s="1"/>
    </row>
    <row r="224" spans="1:11" ht="32.1" customHeight="1">
      <c r="A224" s="1">
        <v>69</v>
      </c>
      <c r="B224" s="7">
        <v>46360</v>
      </c>
      <c r="C224" s="1">
        <v>3</v>
      </c>
      <c r="D224" s="1" t="s">
        <v>1005</v>
      </c>
      <c r="E224" s="1" t="s">
        <v>255</v>
      </c>
      <c r="F224" s="8" t="s">
        <v>1006</v>
      </c>
      <c r="G224" s="1">
        <v>1</v>
      </c>
      <c r="H224" s="1" t="str">
        <f>IFERROR(_xlfn.SINGLE(_xlfn.XLOOKUP(D224, 'Task Plan'!$A:$A, 'Task Plan'!$K:$K)), "")</f>
        <v>Not Started</v>
      </c>
      <c r="I224" s="6">
        <f>IFERROR(_xlfn.SINGLE(_xlfn.XLOOKUP(D224, 'Task Plan'!$A:$A, 'Task Plan'!$L:$L)), 0)</f>
        <v>0</v>
      </c>
      <c r="J224" s="1">
        <f>SUMIF($A:$A,A224,$G:$G)</f>
        <v>3</v>
      </c>
      <c r="K224" s="1"/>
    </row>
    <row r="225" spans="1:11" ht="32.1" customHeight="1">
      <c r="A225" s="1">
        <v>70</v>
      </c>
      <c r="B225" s="7">
        <v>46363</v>
      </c>
      <c r="C225" s="1">
        <v>2.5</v>
      </c>
      <c r="D225" s="1" t="s">
        <v>1008</v>
      </c>
      <c r="E225" s="1" t="s">
        <v>255</v>
      </c>
      <c r="F225" s="8" t="s">
        <v>1009</v>
      </c>
      <c r="G225" s="1">
        <v>0.5</v>
      </c>
      <c r="H225" s="1" t="str">
        <f>IFERROR(_xlfn.SINGLE(_xlfn.XLOOKUP(D225, 'Task Plan'!$A:$A, 'Task Plan'!$K:$K)), "")</f>
        <v>Not Started</v>
      </c>
      <c r="I225" s="6">
        <f>IFERROR(_xlfn.SINGLE(_xlfn.XLOOKUP(D225, 'Task Plan'!$A:$A, 'Task Plan'!$L:$L)), 0)</f>
        <v>0</v>
      </c>
      <c r="J225" s="1">
        <f>SUMIF($A:$A,A225,$G:$G)</f>
        <v>2.5</v>
      </c>
      <c r="K225" s="1"/>
    </row>
    <row r="226" spans="1:11" ht="32.1" customHeight="1">
      <c r="A226" s="1">
        <v>70</v>
      </c>
      <c r="B226" s="7">
        <v>46363</v>
      </c>
      <c r="C226" s="1">
        <v>2.5</v>
      </c>
      <c r="D226" s="1" t="s">
        <v>1011</v>
      </c>
      <c r="E226" s="1" t="s">
        <v>255</v>
      </c>
      <c r="F226" s="8" t="s">
        <v>1012</v>
      </c>
      <c r="G226" s="1">
        <v>2</v>
      </c>
      <c r="H226" s="1" t="str">
        <f>IFERROR(_xlfn.SINGLE(_xlfn.XLOOKUP(D226, 'Task Plan'!$A:$A, 'Task Plan'!$K:$K)), "")</f>
        <v>Not Started</v>
      </c>
      <c r="I226" s="6">
        <f>IFERROR(_xlfn.SINGLE(_xlfn.XLOOKUP(D226, 'Task Plan'!$A:$A, 'Task Plan'!$L:$L)), 0)</f>
        <v>0</v>
      </c>
      <c r="J226" s="1">
        <f>SUMIF($A:$A,A226,$G:$G)</f>
        <v>2.5</v>
      </c>
      <c r="K226" s="1"/>
    </row>
    <row r="227" spans="1:11" ht="32.1" customHeight="1">
      <c r="A227" s="1">
        <v>71</v>
      </c>
      <c r="B227" s="7">
        <v>46364</v>
      </c>
      <c r="C227" s="1">
        <v>3</v>
      </c>
      <c r="D227" s="1" t="s">
        <v>1013</v>
      </c>
      <c r="E227" s="1" t="s">
        <v>255</v>
      </c>
      <c r="F227" s="8" t="s">
        <v>1014</v>
      </c>
      <c r="G227" s="1">
        <v>1</v>
      </c>
      <c r="H227" s="1" t="str">
        <f>IFERROR(_xlfn.SINGLE(_xlfn.XLOOKUP(D227, 'Task Plan'!$A:$A, 'Task Plan'!$K:$K)), "")</f>
        <v>Not Started</v>
      </c>
      <c r="I227" s="6">
        <f>IFERROR(_xlfn.SINGLE(_xlfn.XLOOKUP(D227, 'Task Plan'!$A:$A, 'Task Plan'!$L:$L)), 0)</f>
        <v>0</v>
      </c>
      <c r="J227" s="1">
        <f>SUMIF($A:$A,A227,$G:$G)</f>
        <v>3</v>
      </c>
      <c r="K227" s="1"/>
    </row>
    <row r="228" spans="1:11" ht="32.1" customHeight="1">
      <c r="A228" s="1">
        <v>71</v>
      </c>
      <c r="B228" s="7">
        <v>46364</v>
      </c>
      <c r="C228" s="1">
        <v>3</v>
      </c>
      <c r="D228" s="1" t="s">
        <v>1016</v>
      </c>
      <c r="E228" s="1" t="s">
        <v>255</v>
      </c>
      <c r="F228" s="8" t="s">
        <v>1017</v>
      </c>
      <c r="G228" s="1">
        <v>0.5</v>
      </c>
      <c r="H228" s="1" t="str">
        <f>IFERROR(_xlfn.SINGLE(_xlfn.XLOOKUP(D228, 'Task Plan'!$A:$A, 'Task Plan'!$K:$K)), "")</f>
        <v>Not Started</v>
      </c>
      <c r="I228" s="6">
        <f>IFERROR(_xlfn.SINGLE(_xlfn.XLOOKUP(D228, 'Task Plan'!$A:$A, 'Task Plan'!$L:$L)), 0)</f>
        <v>0</v>
      </c>
      <c r="J228" s="1">
        <f>SUMIF($A:$A,A228,$G:$G)</f>
        <v>3</v>
      </c>
      <c r="K228" s="1"/>
    </row>
    <row r="229" spans="1:11" ht="32.1" customHeight="1">
      <c r="A229" s="1">
        <v>71</v>
      </c>
      <c r="B229" s="7">
        <v>46364</v>
      </c>
      <c r="C229" s="1">
        <v>3</v>
      </c>
      <c r="D229" s="1" t="s">
        <v>1019</v>
      </c>
      <c r="E229" s="1" t="s">
        <v>255</v>
      </c>
      <c r="F229" s="8" t="s">
        <v>1020</v>
      </c>
      <c r="G229" s="1">
        <v>0.5</v>
      </c>
      <c r="H229" s="1" t="str">
        <f>IFERROR(_xlfn.SINGLE(_xlfn.XLOOKUP(D229, 'Task Plan'!$A:$A, 'Task Plan'!$K:$K)), "")</f>
        <v>Not Started</v>
      </c>
      <c r="I229" s="6">
        <f>IFERROR(_xlfn.SINGLE(_xlfn.XLOOKUP(D229, 'Task Plan'!$A:$A, 'Task Plan'!$L:$L)), 0)</f>
        <v>0</v>
      </c>
      <c r="J229" s="1">
        <f>SUMIF($A:$A,A229,$G:$G)</f>
        <v>3</v>
      </c>
      <c r="K229" s="1"/>
    </row>
    <row r="230" spans="1:11" ht="32.1" customHeight="1">
      <c r="A230" s="1">
        <v>71</v>
      </c>
      <c r="B230" s="7">
        <v>46364</v>
      </c>
      <c r="C230" s="1">
        <v>3</v>
      </c>
      <c r="D230" s="1" t="s">
        <v>1022</v>
      </c>
      <c r="E230" s="1" t="s">
        <v>255</v>
      </c>
      <c r="F230" s="8" t="s">
        <v>1023</v>
      </c>
      <c r="G230" s="1">
        <v>0.5</v>
      </c>
      <c r="H230" s="1" t="str">
        <f>IFERROR(_xlfn.SINGLE(_xlfn.XLOOKUP(D230, 'Task Plan'!$A:$A, 'Task Plan'!$K:$K)), "")</f>
        <v>Not Started</v>
      </c>
      <c r="I230" s="6">
        <f>IFERROR(_xlfn.SINGLE(_xlfn.XLOOKUP(D230, 'Task Plan'!$A:$A, 'Task Plan'!$L:$L)), 0)</f>
        <v>0</v>
      </c>
      <c r="J230" s="1">
        <f>SUMIF($A:$A,A230,$G:$G)</f>
        <v>3</v>
      </c>
      <c r="K230" s="1"/>
    </row>
    <row r="231" spans="1:11" ht="32.1" customHeight="1">
      <c r="A231" s="1">
        <v>71</v>
      </c>
      <c r="B231" s="7">
        <v>46364</v>
      </c>
      <c r="C231" s="1">
        <v>3</v>
      </c>
      <c r="D231" s="1" t="s">
        <v>1025</v>
      </c>
      <c r="E231" s="1" t="s">
        <v>255</v>
      </c>
      <c r="F231" s="8" t="s">
        <v>1026</v>
      </c>
      <c r="G231" s="1">
        <v>0.5</v>
      </c>
      <c r="H231" s="1" t="str">
        <f>IFERROR(_xlfn.SINGLE(_xlfn.XLOOKUP(D231, 'Task Plan'!$A:$A, 'Task Plan'!$K:$K)), "")</f>
        <v>Not Started</v>
      </c>
      <c r="I231" s="6">
        <f>IFERROR(_xlfn.SINGLE(_xlfn.XLOOKUP(D231, 'Task Plan'!$A:$A, 'Task Plan'!$L:$L)), 0)</f>
        <v>0</v>
      </c>
      <c r="J231" s="1">
        <f>SUMIF($A:$A,A231,$G:$G)</f>
        <v>3</v>
      </c>
      <c r="K231" s="1"/>
    </row>
    <row r="232" spans="1:11" ht="32.1" customHeight="1">
      <c r="A232" s="1">
        <v>72</v>
      </c>
      <c r="B232" s="7">
        <v>46365</v>
      </c>
      <c r="C232" s="1">
        <v>2.5</v>
      </c>
      <c r="D232" s="1" t="s">
        <v>1025</v>
      </c>
      <c r="E232" s="1" t="s">
        <v>255</v>
      </c>
      <c r="F232" s="8" t="s">
        <v>1026</v>
      </c>
      <c r="G232" s="1">
        <v>1</v>
      </c>
      <c r="H232" s="1" t="str">
        <f>IFERROR(_xlfn.SINGLE(_xlfn.XLOOKUP(D232, 'Task Plan'!$A:$A, 'Task Plan'!$K:$K)), "")</f>
        <v>Not Started</v>
      </c>
      <c r="I232" s="6">
        <f>IFERROR(_xlfn.SINGLE(_xlfn.XLOOKUP(D232, 'Task Plan'!$A:$A, 'Task Plan'!$L:$L)), 0)</f>
        <v>0</v>
      </c>
      <c r="J232" s="1">
        <f>SUMIF($A:$A,A232,$G:$G)</f>
        <v>2.5</v>
      </c>
      <c r="K232" s="1"/>
    </row>
    <row r="233" spans="1:11" ht="32.1" customHeight="1">
      <c r="A233" s="1">
        <v>72</v>
      </c>
      <c r="B233" s="7">
        <v>46365</v>
      </c>
      <c r="C233" s="1">
        <v>2.5</v>
      </c>
      <c r="D233" s="1" t="s">
        <v>1027</v>
      </c>
      <c r="E233" s="1" t="s">
        <v>255</v>
      </c>
      <c r="F233" s="8" t="s">
        <v>1028</v>
      </c>
      <c r="G233" s="1">
        <v>1</v>
      </c>
      <c r="H233" s="1" t="str">
        <f>IFERROR(_xlfn.SINGLE(_xlfn.XLOOKUP(D233, 'Task Plan'!$A:$A, 'Task Plan'!$K:$K)), "")</f>
        <v>Not Started</v>
      </c>
      <c r="I233" s="6">
        <f>IFERROR(_xlfn.SINGLE(_xlfn.XLOOKUP(D233, 'Task Plan'!$A:$A, 'Task Plan'!$L:$L)), 0)</f>
        <v>0</v>
      </c>
      <c r="J233" s="1">
        <f>SUMIF($A:$A,A233,$G:$G)</f>
        <v>2.5</v>
      </c>
      <c r="K233" s="1"/>
    </row>
    <row r="234" spans="1:11" ht="32.1" customHeight="1">
      <c r="A234" s="1">
        <v>72</v>
      </c>
      <c r="B234" s="7">
        <v>46365</v>
      </c>
      <c r="C234" s="1">
        <v>2.5</v>
      </c>
      <c r="D234" s="1" t="s">
        <v>1030</v>
      </c>
      <c r="E234" s="1" t="s">
        <v>255</v>
      </c>
      <c r="F234" s="8" t="s">
        <v>1031</v>
      </c>
      <c r="G234" s="1">
        <v>0.5</v>
      </c>
      <c r="H234" s="1" t="str">
        <f>IFERROR(_xlfn.SINGLE(_xlfn.XLOOKUP(D234, 'Task Plan'!$A:$A, 'Task Plan'!$K:$K)), "")</f>
        <v>Not Started</v>
      </c>
      <c r="I234" s="6">
        <f>IFERROR(_xlfn.SINGLE(_xlfn.XLOOKUP(D234, 'Task Plan'!$A:$A, 'Task Plan'!$L:$L)), 0)</f>
        <v>0</v>
      </c>
      <c r="J234" s="1">
        <f>SUMIF($A:$A,A234,$G:$G)</f>
        <v>2.5</v>
      </c>
      <c r="K234" s="1"/>
    </row>
    <row r="235" spans="1:11" ht="32.1" customHeight="1">
      <c r="A235" s="1">
        <v>73</v>
      </c>
      <c r="B235" s="7">
        <v>46366</v>
      </c>
      <c r="C235" s="1">
        <v>2.5</v>
      </c>
      <c r="D235" s="1" t="s">
        <v>1033</v>
      </c>
      <c r="E235" s="1" t="s">
        <v>255</v>
      </c>
      <c r="F235" s="8" t="s">
        <v>1034</v>
      </c>
      <c r="G235" s="1">
        <v>0.5</v>
      </c>
      <c r="H235" s="1" t="str">
        <f>IFERROR(_xlfn.SINGLE(_xlfn.XLOOKUP(D235, 'Task Plan'!$A:$A, 'Task Plan'!$K:$K)), "")</f>
        <v>Not Started</v>
      </c>
      <c r="I235" s="6">
        <f>IFERROR(_xlfn.SINGLE(_xlfn.XLOOKUP(D235, 'Task Plan'!$A:$A, 'Task Plan'!$L:$L)), 0)</f>
        <v>0</v>
      </c>
      <c r="J235" s="1">
        <f>SUMIF($A:$A,A235,$G:$G)</f>
        <v>2.5</v>
      </c>
      <c r="K235" s="1"/>
    </row>
    <row r="236" spans="1:11" ht="32.1" customHeight="1">
      <c r="A236" s="1">
        <v>73</v>
      </c>
      <c r="B236" s="7">
        <v>46366</v>
      </c>
      <c r="C236" s="1">
        <v>2.5</v>
      </c>
      <c r="D236" s="1" t="s">
        <v>1036</v>
      </c>
      <c r="E236" s="1" t="s">
        <v>255</v>
      </c>
      <c r="F236" s="8" t="s">
        <v>1037</v>
      </c>
      <c r="G236" s="1">
        <v>0.5</v>
      </c>
      <c r="H236" s="1" t="str">
        <f>IFERROR(_xlfn.SINGLE(_xlfn.XLOOKUP(D236, 'Task Plan'!$A:$A, 'Task Plan'!$K:$K)), "")</f>
        <v>Not Started</v>
      </c>
      <c r="I236" s="6">
        <f>IFERROR(_xlfn.SINGLE(_xlfn.XLOOKUP(D236, 'Task Plan'!$A:$A, 'Task Plan'!$L:$L)), 0)</f>
        <v>0</v>
      </c>
      <c r="J236" s="1">
        <f>SUMIF($A:$A,A236,$G:$G)</f>
        <v>2.5</v>
      </c>
      <c r="K236" s="1"/>
    </row>
    <row r="237" spans="1:11" ht="32.1" customHeight="1">
      <c r="A237" s="1">
        <v>73</v>
      </c>
      <c r="B237" s="7">
        <v>46366</v>
      </c>
      <c r="C237" s="1">
        <v>2.5</v>
      </c>
      <c r="D237" s="1" t="s">
        <v>1039</v>
      </c>
      <c r="E237" s="1" t="s">
        <v>255</v>
      </c>
      <c r="F237" s="8" t="s">
        <v>1040</v>
      </c>
      <c r="G237" s="1">
        <v>1.5</v>
      </c>
      <c r="H237" s="1" t="str">
        <f>IFERROR(_xlfn.SINGLE(_xlfn.XLOOKUP(D237, 'Task Plan'!$A:$A, 'Task Plan'!$K:$K)), "")</f>
        <v>Not Started</v>
      </c>
      <c r="I237" s="6">
        <f>IFERROR(_xlfn.SINGLE(_xlfn.XLOOKUP(D237, 'Task Plan'!$A:$A, 'Task Plan'!$L:$L)), 0)</f>
        <v>0</v>
      </c>
      <c r="J237" s="1">
        <f>SUMIF($A:$A,A237,$G:$G)</f>
        <v>2.5</v>
      </c>
      <c r="K237" s="1"/>
    </row>
    <row r="238" spans="1:11" ht="32.1" customHeight="1">
      <c r="A238" s="1">
        <v>74</v>
      </c>
      <c r="B238" s="7">
        <v>46367</v>
      </c>
      <c r="C238" s="1">
        <v>2</v>
      </c>
      <c r="D238" s="1" t="s">
        <v>1039</v>
      </c>
      <c r="E238" s="1" t="s">
        <v>255</v>
      </c>
      <c r="F238" s="8" t="s">
        <v>1040</v>
      </c>
      <c r="G238" s="1">
        <v>0.5</v>
      </c>
      <c r="H238" s="1" t="str">
        <f>IFERROR(_xlfn.SINGLE(_xlfn.XLOOKUP(D238, 'Task Plan'!$A:$A, 'Task Plan'!$K:$K)), "")</f>
        <v>Not Started</v>
      </c>
      <c r="I238" s="6">
        <f>IFERROR(_xlfn.SINGLE(_xlfn.XLOOKUP(D238, 'Task Plan'!$A:$A, 'Task Plan'!$L:$L)), 0)</f>
        <v>0</v>
      </c>
      <c r="J238" s="1">
        <f>SUMIF($A:$A,A238,$G:$G)</f>
        <v>2</v>
      </c>
      <c r="K238" s="1"/>
    </row>
    <row r="239" spans="1:11" ht="32.1" customHeight="1">
      <c r="A239" s="1">
        <v>74</v>
      </c>
      <c r="B239" s="7">
        <v>46367</v>
      </c>
      <c r="C239" s="1">
        <v>2</v>
      </c>
      <c r="D239" s="1" t="s">
        <v>1041</v>
      </c>
      <c r="E239" s="1" t="s">
        <v>255</v>
      </c>
      <c r="F239" s="8" t="s">
        <v>1042</v>
      </c>
      <c r="G239" s="1">
        <v>1</v>
      </c>
      <c r="H239" s="1" t="str">
        <f>IFERROR(_xlfn.SINGLE(_xlfn.XLOOKUP(D239, 'Task Plan'!$A:$A, 'Task Plan'!$K:$K)), "")</f>
        <v>Not Started</v>
      </c>
      <c r="I239" s="6">
        <f>IFERROR(_xlfn.SINGLE(_xlfn.XLOOKUP(D239, 'Task Plan'!$A:$A, 'Task Plan'!$L:$L)), 0)</f>
        <v>0</v>
      </c>
      <c r="J239" s="1">
        <f>SUMIF($A:$A,A239,$G:$G)</f>
        <v>2</v>
      </c>
      <c r="K239" s="1"/>
    </row>
    <row r="240" spans="1:11" ht="32.1" customHeight="1">
      <c r="A240" s="1">
        <v>74</v>
      </c>
      <c r="B240" s="7">
        <v>46367</v>
      </c>
      <c r="C240" s="1">
        <v>2</v>
      </c>
      <c r="D240" s="1" t="s">
        <v>1044</v>
      </c>
      <c r="E240" s="1" t="s">
        <v>255</v>
      </c>
      <c r="F240" s="8" t="s">
        <v>1045</v>
      </c>
      <c r="G240" s="1">
        <v>0.5</v>
      </c>
      <c r="H240" s="1" t="str">
        <f>IFERROR(_xlfn.SINGLE(_xlfn.XLOOKUP(D240, 'Task Plan'!$A:$A, 'Task Plan'!$K:$K)), "")</f>
        <v>Not Started</v>
      </c>
      <c r="I240" s="6">
        <f>IFERROR(_xlfn.SINGLE(_xlfn.XLOOKUP(D240, 'Task Plan'!$A:$A, 'Task Plan'!$L:$L)), 0)</f>
        <v>0</v>
      </c>
      <c r="J240" s="1">
        <f>SUMIF($A:$A,A240,$G:$G)</f>
        <v>2</v>
      </c>
      <c r="K240" s="1"/>
    </row>
    <row r="241" spans="1:11" ht="32.1" customHeight="1">
      <c r="A241" s="1">
        <v>75</v>
      </c>
      <c r="B241" s="7">
        <v>46370</v>
      </c>
      <c r="C241" s="1">
        <v>2</v>
      </c>
      <c r="D241" s="1" t="s">
        <v>1047</v>
      </c>
      <c r="E241" s="1" t="s">
        <v>255</v>
      </c>
      <c r="F241" s="8" t="s">
        <v>1048</v>
      </c>
      <c r="G241" s="1">
        <v>1</v>
      </c>
      <c r="H241" s="1" t="str">
        <f>IFERROR(_xlfn.SINGLE(_xlfn.XLOOKUP(D241, 'Task Plan'!$A:$A, 'Task Plan'!$K:$K)), "")</f>
        <v>Not Started</v>
      </c>
      <c r="I241" s="6">
        <f>IFERROR(_xlfn.SINGLE(_xlfn.XLOOKUP(D241, 'Task Plan'!$A:$A, 'Task Plan'!$L:$L)), 0)</f>
        <v>0</v>
      </c>
      <c r="J241" s="1">
        <f>SUMIF($A:$A,A241,$G:$G)</f>
        <v>2</v>
      </c>
      <c r="K241" s="1"/>
    </row>
    <row r="242" spans="1:11" ht="32.1" customHeight="1">
      <c r="A242" s="1">
        <v>75</v>
      </c>
      <c r="B242" s="7">
        <v>46370</v>
      </c>
      <c r="C242" s="1">
        <v>2</v>
      </c>
      <c r="D242" s="1" t="s">
        <v>1050</v>
      </c>
      <c r="E242" s="1" t="s">
        <v>255</v>
      </c>
      <c r="F242" s="8" t="s">
        <v>1051</v>
      </c>
      <c r="G242" s="1">
        <v>1</v>
      </c>
      <c r="H242" s="1" t="str">
        <f>IFERROR(_xlfn.SINGLE(_xlfn.XLOOKUP(D242, 'Task Plan'!$A:$A, 'Task Plan'!$K:$K)), "")</f>
        <v>Not Started</v>
      </c>
      <c r="I242" s="6">
        <f>IFERROR(_xlfn.SINGLE(_xlfn.XLOOKUP(D242, 'Task Plan'!$A:$A, 'Task Plan'!$L:$L)), 0)</f>
        <v>0</v>
      </c>
      <c r="J242" s="1">
        <f>SUMIF($A:$A,A242,$G:$G)</f>
        <v>2</v>
      </c>
      <c r="K242" s="1"/>
    </row>
    <row r="243" spans="1:11" ht="32.1" customHeight="1">
      <c r="A243" s="1">
        <v>76</v>
      </c>
      <c r="B243" s="7">
        <v>46371</v>
      </c>
      <c r="C243" s="1">
        <v>3</v>
      </c>
      <c r="D243" s="1" t="s">
        <v>1053</v>
      </c>
      <c r="E243" s="1" t="s">
        <v>255</v>
      </c>
      <c r="F243" s="8" t="s">
        <v>1054</v>
      </c>
      <c r="G243" s="1">
        <v>1</v>
      </c>
      <c r="H243" s="1" t="str">
        <f>IFERROR(_xlfn.SINGLE(_xlfn.XLOOKUP(D243, 'Task Plan'!$A:$A, 'Task Plan'!$K:$K)), "")</f>
        <v>Not Started</v>
      </c>
      <c r="I243" s="6">
        <f>IFERROR(_xlfn.SINGLE(_xlfn.XLOOKUP(D243, 'Task Plan'!$A:$A, 'Task Plan'!$L:$L)), 0)</f>
        <v>0</v>
      </c>
      <c r="J243" s="1">
        <f>SUMIF($A:$A,A243,$G:$G)</f>
        <v>3</v>
      </c>
      <c r="K243" s="1"/>
    </row>
    <row r="244" spans="1:11" ht="32.1" customHeight="1">
      <c r="A244" s="1">
        <v>76</v>
      </c>
      <c r="B244" s="7">
        <v>46371</v>
      </c>
      <c r="C244" s="1">
        <v>3</v>
      </c>
      <c r="D244" s="1" t="s">
        <v>1055</v>
      </c>
      <c r="E244" s="1" t="s">
        <v>255</v>
      </c>
      <c r="F244" s="8" t="s">
        <v>1056</v>
      </c>
      <c r="G244" s="1">
        <v>1</v>
      </c>
      <c r="H244" s="1" t="str">
        <f>IFERROR(_xlfn.SINGLE(_xlfn.XLOOKUP(D244, 'Task Plan'!$A:$A, 'Task Plan'!$K:$K)), "")</f>
        <v>Not Started</v>
      </c>
      <c r="I244" s="6">
        <f>IFERROR(_xlfn.SINGLE(_xlfn.XLOOKUP(D244, 'Task Plan'!$A:$A, 'Task Plan'!$L:$L)), 0)</f>
        <v>0</v>
      </c>
      <c r="J244" s="1">
        <f>SUMIF($A:$A,A244,$G:$G)</f>
        <v>3</v>
      </c>
      <c r="K244" s="1"/>
    </row>
    <row r="245" spans="1:11" ht="32.1" customHeight="1">
      <c r="A245" s="1">
        <v>76</v>
      </c>
      <c r="B245" s="7">
        <v>46371</v>
      </c>
      <c r="C245" s="1">
        <v>3</v>
      </c>
      <c r="D245" s="1" t="s">
        <v>1058</v>
      </c>
      <c r="E245" s="1" t="s">
        <v>255</v>
      </c>
      <c r="F245" s="8" t="s">
        <v>1059</v>
      </c>
      <c r="G245" s="1">
        <v>0.5</v>
      </c>
      <c r="H245" s="1" t="str">
        <f>IFERROR(_xlfn.SINGLE(_xlfn.XLOOKUP(D245, 'Task Plan'!$A:$A, 'Task Plan'!$K:$K)), "")</f>
        <v>Not Started</v>
      </c>
      <c r="I245" s="6">
        <f>IFERROR(_xlfn.SINGLE(_xlfn.XLOOKUP(D245, 'Task Plan'!$A:$A, 'Task Plan'!$L:$L)), 0)</f>
        <v>0</v>
      </c>
      <c r="J245" s="1">
        <f>SUMIF($A:$A,A245,$G:$G)</f>
        <v>3</v>
      </c>
      <c r="K245" s="1"/>
    </row>
    <row r="246" spans="1:11" ht="32.1" customHeight="1">
      <c r="A246" s="1">
        <v>76</v>
      </c>
      <c r="B246" s="7">
        <v>46371</v>
      </c>
      <c r="C246" s="1">
        <v>3</v>
      </c>
      <c r="D246" s="1" t="s">
        <v>1061</v>
      </c>
      <c r="E246" s="1" t="s">
        <v>281</v>
      </c>
      <c r="F246" s="8" t="s">
        <v>1062</v>
      </c>
      <c r="G246" s="1">
        <v>0.5</v>
      </c>
      <c r="H246" s="1" t="str">
        <f>IFERROR(_xlfn.SINGLE(_xlfn.XLOOKUP(D246, 'Task Plan'!$A:$A, 'Task Plan'!$K:$K)), "")</f>
        <v>Not Started</v>
      </c>
      <c r="I246" s="6">
        <f>IFERROR(_xlfn.SINGLE(_xlfn.XLOOKUP(D246, 'Task Plan'!$A:$A, 'Task Plan'!$L:$L)), 0)</f>
        <v>0</v>
      </c>
      <c r="J246" s="1">
        <f>SUMIF($A:$A,A246,$G:$G)</f>
        <v>3</v>
      </c>
      <c r="K246" s="1"/>
    </row>
    <row r="247" spans="1:11" ht="32.1" customHeight="1">
      <c r="A247" s="1">
        <v>77</v>
      </c>
      <c r="B247" s="7">
        <v>46372</v>
      </c>
      <c r="C247" s="1">
        <v>2.5</v>
      </c>
      <c r="D247" s="1" t="s">
        <v>1064</v>
      </c>
      <c r="E247" s="1" t="s">
        <v>281</v>
      </c>
      <c r="F247" s="8" t="s">
        <v>1065</v>
      </c>
      <c r="G247" s="1">
        <v>1</v>
      </c>
      <c r="H247" s="1" t="str">
        <f>IFERROR(_xlfn.SINGLE(_xlfn.XLOOKUP(D247, 'Task Plan'!$A:$A, 'Task Plan'!$K:$K)), "")</f>
        <v>Not Started</v>
      </c>
      <c r="I247" s="6">
        <f>IFERROR(_xlfn.SINGLE(_xlfn.XLOOKUP(D247, 'Task Plan'!$A:$A, 'Task Plan'!$L:$L)), 0)</f>
        <v>0</v>
      </c>
      <c r="J247" s="1">
        <f>SUMIF($A:$A,A247,$G:$G)</f>
        <v>2.5</v>
      </c>
      <c r="K247" s="1"/>
    </row>
    <row r="248" spans="1:11" ht="32.1" customHeight="1">
      <c r="A248" s="1">
        <v>77</v>
      </c>
      <c r="B248" s="7">
        <v>46372</v>
      </c>
      <c r="C248" s="1">
        <v>2.5</v>
      </c>
      <c r="D248" s="1" t="s">
        <v>1067</v>
      </c>
      <c r="E248" s="1" t="s">
        <v>281</v>
      </c>
      <c r="F248" s="8" t="s">
        <v>1068</v>
      </c>
      <c r="G248" s="1">
        <v>1.5</v>
      </c>
      <c r="H248" s="1" t="str">
        <f>IFERROR(_xlfn.SINGLE(_xlfn.XLOOKUP(D248, 'Task Plan'!$A:$A, 'Task Plan'!$K:$K)), "")</f>
        <v>Not Started</v>
      </c>
      <c r="I248" s="6">
        <f>IFERROR(_xlfn.SINGLE(_xlfn.XLOOKUP(D248, 'Task Plan'!$A:$A, 'Task Plan'!$L:$L)), 0)</f>
        <v>0</v>
      </c>
      <c r="J248" s="1">
        <f>SUMIF($A:$A,A248,$G:$G)</f>
        <v>2.5</v>
      </c>
      <c r="K248" s="1"/>
    </row>
    <row r="249" spans="1:11" ht="32.1" customHeight="1">
      <c r="A249" s="1">
        <v>78</v>
      </c>
      <c r="B249" s="7">
        <v>46373</v>
      </c>
      <c r="C249" s="1">
        <v>2.5</v>
      </c>
      <c r="D249" s="1" t="s">
        <v>1069</v>
      </c>
      <c r="E249" s="1" t="s">
        <v>281</v>
      </c>
      <c r="F249" s="8" t="s">
        <v>1070</v>
      </c>
      <c r="G249" s="1">
        <v>1</v>
      </c>
      <c r="H249" s="1" t="str">
        <f>IFERROR(_xlfn.SINGLE(_xlfn.XLOOKUP(D249, 'Task Plan'!$A:$A, 'Task Plan'!$K:$K)), "")</f>
        <v>Not Started</v>
      </c>
      <c r="I249" s="6">
        <f>IFERROR(_xlfn.SINGLE(_xlfn.XLOOKUP(D249, 'Task Plan'!$A:$A, 'Task Plan'!$L:$L)), 0)</f>
        <v>0</v>
      </c>
      <c r="J249" s="1">
        <f>SUMIF($A:$A,A249,$G:$G)</f>
        <v>2.5</v>
      </c>
      <c r="K249" s="1"/>
    </row>
    <row r="250" spans="1:11" ht="32.1" customHeight="1">
      <c r="A250" s="1">
        <v>78</v>
      </c>
      <c r="B250" s="7">
        <v>46373</v>
      </c>
      <c r="C250" s="1">
        <v>2.5</v>
      </c>
      <c r="D250" s="1" t="s">
        <v>1072</v>
      </c>
      <c r="E250" s="1" t="s">
        <v>281</v>
      </c>
      <c r="F250" s="8" t="s">
        <v>1073</v>
      </c>
      <c r="G250" s="1">
        <v>0.5</v>
      </c>
      <c r="H250" s="1" t="str">
        <f>IFERROR(_xlfn.SINGLE(_xlfn.XLOOKUP(D250, 'Task Plan'!$A:$A, 'Task Plan'!$K:$K)), "")</f>
        <v>Not Started</v>
      </c>
      <c r="I250" s="6">
        <f>IFERROR(_xlfn.SINGLE(_xlfn.XLOOKUP(D250, 'Task Plan'!$A:$A, 'Task Plan'!$L:$L)), 0)</f>
        <v>0</v>
      </c>
      <c r="J250" s="1">
        <f>SUMIF($A:$A,A250,$G:$G)</f>
        <v>2.5</v>
      </c>
      <c r="K250" s="1"/>
    </row>
    <row r="251" spans="1:11" ht="32.1" customHeight="1">
      <c r="A251" s="1">
        <v>78</v>
      </c>
      <c r="B251" s="7">
        <v>46373</v>
      </c>
      <c r="C251" s="1">
        <v>2.5</v>
      </c>
      <c r="D251" s="1" t="s">
        <v>1075</v>
      </c>
      <c r="E251" s="1" t="s">
        <v>281</v>
      </c>
      <c r="F251" s="8" t="s">
        <v>1076</v>
      </c>
      <c r="G251" s="1">
        <v>1</v>
      </c>
      <c r="H251" s="1" t="str">
        <f>IFERROR(_xlfn.SINGLE(_xlfn.XLOOKUP(D251, 'Task Plan'!$A:$A, 'Task Plan'!$K:$K)), "")</f>
        <v>Not Started</v>
      </c>
      <c r="I251" s="6">
        <f>IFERROR(_xlfn.SINGLE(_xlfn.XLOOKUP(D251, 'Task Plan'!$A:$A, 'Task Plan'!$L:$L)), 0)</f>
        <v>0</v>
      </c>
      <c r="J251" s="1">
        <f>SUMIF($A:$A,A251,$G:$G)</f>
        <v>2.5</v>
      </c>
      <c r="K251" s="1"/>
    </row>
    <row r="252" spans="1:11" ht="32.1" customHeight="1">
      <c r="A252" s="1">
        <v>79</v>
      </c>
      <c r="B252" s="7">
        <v>46374</v>
      </c>
      <c r="C252" s="1">
        <v>2</v>
      </c>
      <c r="D252" s="1" t="s">
        <v>1078</v>
      </c>
      <c r="E252" s="1" t="s">
        <v>281</v>
      </c>
      <c r="F252" s="8" t="s">
        <v>1079</v>
      </c>
      <c r="G252" s="1">
        <v>1</v>
      </c>
      <c r="H252" s="1" t="str">
        <f>IFERROR(_xlfn.SINGLE(_xlfn.XLOOKUP(D252, 'Task Plan'!$A:$A, 'Task Plan'!$K:$K)), "")</f>
        <v>Not Started</v>
      </c>
      <c r="I252" s="6">
        <f>IFERROR(_xlfn.SINGLE(_xlfn.XLOOKUP(D252, 'Task Plan'!$A:$A, 'Task Plan'!$L:$L)), 0)</f>
        <v>0</v>
      </c>
      <c r="J252" s="1">
        <f>SUMIF($A:$A,A252,$G:$G)</f>
        <v>2</v>
      </c>
      <c r="K252" s="1"/>
    </row>
    <row r="253" spans="1:11" ht="32.1" customHeight="1">
      <c r="A253" s="1">
        <v>79</v>
      </c>
      <c r="B253" s="7">
        <v>46374</v>
      </c>
      <c r="C253" s="1">
        <v>2</v>
      </c>
      <c r="D253" s="1" t="s">
        <v>1081</v>
      </c>
      <c r="E253" s="1" t="s">
        <v>281</v>
      </c>
      <c r="F253" s="8" t="s">
        <v>1082</v>
      </c>
      <c r="G253" s="1">
        <v>1</v>
      </c>
      <c r="H253" s="1" t="str">
        <f>IFERROR(_xlfn.SINGLE(_xlfn.XLOOKUP(D253, 'Task Plan'!$A:$A, 'Task Plan'!$K:$K)), "")</f>
        <v>Not Started</v>
      </c>
      <c r="I253" s="6">
        <f>IFERROR(_xlfn.SINGLE(_xlfn.XLOOKUP(D253, 'Task Plan'!$A:$A, 'Task Plan'!$L:$L)), 0)</f>
        <v>0</v>
      </c>
      <c r="J253" s="1">
        <f>SUMIF($A:$A,A253,$G:$G)</f>
        <v>2</v>
      </c>
      <c r="K253" s="1"/>
    </row>
    <row r="254" spans="1:11" ht="32.1" customHeight="1">
      <c r="A254" s="1">
        <v>80</v>
      </c>
      <c r="B254" s="7">
        <v>46377</v>
      </c>
      <c r="C254" s="1">
        <v>2</v>
      </c>
      <c r="D254" s="1" t="s">
        <v>1081</v>
      </c>
      <c r="E254" s="1" t="s">
        <v>281</v>
      </c>
      <c r="F254" s="8" t="s">
        <v>1082</v>
      </c>
      <c r="G254" s="1">
        <v>1</v>
      </c>
      <c r="H254" s="1" t="str">
        <f>IFERROR(_xlfn.SINGLE(_xlfn.XLOOKUP(D254, 'Task Plan'!$A:$A, 'Task Plan'!$K:$K)), "")</f>
        <v>Not Started</v>
      </c>
      <c r="I254" s="6">
        <f>IFERROR(_xlfn.SINGLE(_xlfn.XLOOKUP(D254, 'Task Plan'!$A:$A, 'Task Plan'!$L:$L)), 0)</f>
        <v>0</v>
      </c>
      <c r="J254" s="1">
        <f>SUMIF($A:$A,A254,$G:$G)</f>
        <v>2</v>
      </c>
      <c r="K254" s="1"/>
    </row>
    <row r="255" spans="1:11" ht="32.1" customHeight="1">
      <c r="A255" s="1">
        <v>80</v>
      </c>
      <c r="B255" s="7">
        <v>46377</v>
      </c>
      <c r="C255" s="1">
        <v>2</v>
      </c>
      <c r="D255" s="1" t="s">
        <v>1083</v>
      </c>
      <c r="E255" s="1" t="s">
        <v>281</v>
      </c>
      <c r="F255" s="8" t="s">
        <v>1084</v>
      </c>
      <c r="G255" s="1">
        <v>1</v>
      </c>
      <c r="H255" s="1" t="str">
        <f>IFERROR(_xlfn.SINGLE(_xlfn.XLOOKUP(D255, 'Task Plan'!$A:$A, 'Task Plan'!$K:$K)), "")</f>
        <v>Not Started</v>
      </c>
      <c r="I255" s="6">
        <f>IFERROR(_xlfn.SINGLE(_xlfn.XLOOKUP(D255, 'Task Plan'!$A:$A, 'Task Plan'!$L:$L)), 0)</f>
        <v>0</v>
      </c>
      <c r="J255" s="1">
        <f>SUMIF($A:$A,A255,$G:$G)</f>
        <v>2</v>
      </c>
      <c r="K255" s="1"/>
    </row>
    <row r="256" spans="1:11" ht="32.1" customHeight="1">
      <c r="A256" s="1">
        <v>81</v>
      </c>
      <c r="B256" s="7">
        <v>46378</v>
      </c>
      <c r="C256" s="1">
        <v>2.5</v>
      </c>
      <c r="D256" s="1" t="s">
        <v>1086</v>
      </c>
      <c r="E256" s="1" t="s">
        <v>281</v>
      </c>
      <c r="F256" s="8" t="s">
        <v>1087</v>
      </c>
      <c r="G256" s="1">
        <v>0.5</v>
      </c>
      <c r="H256" s="1" t="str">
        <f>IFERROR(_xlfn.SINGLE(_xlfn.XLOOKUP(D256, 'Task Plan'!$A:$A, 'Task Plan'!$K:$K)), "")</f>
        <v>Not Started</v>
      </c>
      <c r="I256" s="6">
        <f>IFERROR(_xlfn.SINGLE(_xlfn.XLOOKUP(D256, 'Task Plan'!$A:$A, 'Task Plan'!$L:$L)), 0)</f>
        <v>0</v>
      </c>
      <c r="J256" s="1">
        <f>SUMIF($A:$A,A256,$G:$G)</f>
        <v>2.5</v>
      </c>
      <c r="K256" s="1"/>
    </row>
    <row r="257" spans="1:11" ht="32.1" customHeight="1">
      <c r="A257" s="1">
        <v>81</v>
      </c>
      <c r="B257" s="7">
        <v>46378</v>
      </c>
      <c r="C257" s="1">
        <v>2.5</v>
      </c>
      <c r="D257" s="1" t="s">
        <v>1089</v>
      </c>
      <c r="E257" s="1" t="s">
        <v>281</v>
      </c>
      <c r="F257" s="8" t="s">
        <v>1090</v>
      </c>
      <c r="G257" s="1">
        <v>1</v>
      </c>
      <c r="H257" s="1" t="str">
        <f>IFERROR(_xlfn.SINGLE(_xlfn.XLOOKUP(D257, 'Task Plan'!$A:$A, 'Task Plan'!$K:$K)), "")</f>
        <v>Not Started</v>
      </c>
      <c r="I257" s="6">
        <f>IFERROR(_xlfn.SINGLE(_xlfn.XLOOKUP(D257, 'Task Plan'!$A:$A, 'Task Plan'!$L:$L)), 0)</f>
        <v>0</v>
      </c>
      <c r="J257" s="1">
        <f>SUMIF($A:$A,A257,$G:$G)</f>
        <v>2.5</v>
      </c>
      <c r="K257" s="1"/>
    </row>
    <row r="258" spans="1:11" ht="32.1" customHeight="1">
      <c r="A258" s="1">
        <v>81</v>
      </c>
      <c r="B258" s="7">
        <v>46378</v>
      </c>
      <c r="C258" s="1">
        <v>2.5</v>
      </c>
      <c r="D258" s="1" t="s">
        <v>1092</v>
      </c>
      <c r="E258" s="1" t="s">
        <v>281</v>
      </c>
      <c r="F258" s="8" t="s">
        <v>1093</v>
      </c>
      <c r="G258" s="1">
        <v>1</v>
      </c>
      <c r="H258" s="1" t="str">
        <f>IFERROR(_xlfn.SINGLE(_xlfn.XLOOKUP(D258, 'Task Plan'!$A:$A, 'Task Plan'!$K:$K)), "")</f>
        <v>Not Started</v>
      </c>
      <c r="I258" s="6">
        <f>IFERROR(_xlfn.SINGLE(_xlfn.XLOOKUP(D258, 'Task Plan'!$A:$A, 'Task Plan'!$L:$L)), 0)</f>
        <v>0</v>
      </c>
      <c r="J258" s="1">
        <f>SUMIF($A:$A,A258,$G:$G)</f>
        <v>2.5</v>
      </c>
      <c r="K258" s="1"/>
    </row>
    <row r="259" spans="1:11" ht="32.1" customHeight="1">
      <c r="A259" s="1">
        <v>82</v>
      </c>
      <c r="B259" s="7">
        <v>46379</v>
      </c>
      <c r="C259" s="1">
        <v>2</v>
      </c>
      <c r="D259" s="1" t="s">
        <v>1095</v>
      </c>
      <c r="E259" s="1" t="s">
        <v>281</v>
      </c>
      <c r="F259" s="8" t="s">
        <v>1096</v>
      </c>
      <c r="G259" s="1">
        <v>2</v>
      </c>
      <c r="H259" s="1" t="str">
        <f>IFERROR(_xlfn.SINGLE(_xlfn.XLOOKUP(D259, 'Task Plan'!$A:$A, 'Task Plan'!$K:$K)), "")</f>
        <v>Not Started</v>
      </c>
      <c r="I259" s="6">
        <f>IFERROR(_xlfn.SINGLE(_xlfn.XLOOKUP(D259, 'Task Plan'!$A:$A, 'Task Plan'!$L:$L)), 0)</f>
        <v>0</v>
      </c>
      <c r="J259" s="1">
        <f>SUMIF($A:$A,A259,$G:$G)</f>
        <v>2</v>
      </c>
      <c r="K259" s="1"/>
    </row>
    <row r="260" spans="1:11" ht="32.1" customHeight="1">
      <c r="A260" s="1">
        <v>83</v>
      </c>
      <c r="B260" s="7">
        <v>46380</v>
      </c>
      <c r="C260" s="1">
        <v>3</v>
      </c>
      <c r="D260" s="1" t="s">
        <v>1097</v>
      </c>
      <c r="E260" s="1" t="s">
        <v>281</v>
      </c>
      <c r="F260" s="8" t="s">
        <v>1098</v>
      </c>
      <c r="G260" s="1">
        <v>1</v>
      </c>
      <c r="H260" s="1" t="str">
        <f>IFERROR(_xlfn.SINGLE(_xlfn.XLOOKUP(D260, 'Task Plan'!$A:$A, 'Task Plan'!$K:$K)), "")</f>
        <v>Not Started</v>
      </c>
      <c r="I260" s="6">
        <f>IFERROR(_xlfn.SINGLE(_xlfn.XLOOKUP(D260, 'Task Plan'!$A:$A, 'Task Plan'!$L:$L)), 0)</f>
        <v>0</v>
      </c>
      <c r="J260" s="1">
        <f>SUMIF($A:$A,A260,$G:$G)</f>
        <v>3</v>
      </c>
      <c r="K260" s="1"/>
    </row>
    <row r="261" spans="1:11" ht="32.1" customHeight="1">
      <c r="A261" s="1">
        <v>83</v>
      </c>
      <c r="B261" s="7">
        <v>46380</v>
      </c>
      <c r="C261" s="1">
        <v>3</v>
      </c>
      <c r="D261" s="1" t="s">
        <v>1100</v>
      </c>
      <c r="E261" s="1" t="s">
        <v>281</v>
      </c>
      <c r="F261" s="8" t="s">
        <v>1101</v>
      </c>
      <c r="G261" s="1">
        <v>0.5</v>
      </c>
      <c r="H261" s="1" t="str">
        <f>IFERROR(_xlfn.SINGLE(_xlfn.XLOOKUP(D261, 'Task Plan'!$A:$A, 'Task Plan'!$K:$K)), "")</f>
        <v>Not Started</v>
      </c>
      <c r="I261" s="6">
        <f>IFERROR(_xlfn.SINGLE(_xlfn.XLOOKUP(D261, 'Task Plan'!$A:$A, 'Task Plan'!$L:$L)), 0)</f>
        <v>0</v>
      </c>
      <c r="J261" s="1">
        <f>SUMIF($A:$A,A261,$G:$G)</f>
        <v>3</v>
      </c>
      <c r="K261" s="1"/>
    </row>
    <row r="262" spans="1:11" ht="32.1" customHeight="1">
      <c r="A262" s="1">
        <v>83</v>
      </c>
      <c r="B262" s="7">
        <v>46380</v>
      </c>
      <c r="C262" s="1">
        <v>3</v>
      </c>
      <c r="D262" s="1" t="s">
        <v>1103</v>
      </c>
      <c r="E262" s="1" t="s">
        <v>281</v>
      </c>
      <c r="F262" s="8" t="s">
        <v>1104</v>
      </c>
      <c r="G262" s="1">
        <v>1</v>
      </c>
      <c r="H262" s="1" t="str">
        <f>IFERROR(_xlfn.SINGLE(_xlfn.XLOOKUP(D262, 'Task Plan'!$A:$A, 'Task Plan'!$K:$K)), "")</f>
        <v>Not Started</v>
      </c>
      <c r="I262" s="6">
        <f>IFERROR(_xlfn.SINGLE(_xlfn.XLOOKUP(D262, 'Task Plan'!$A:$A, 'Task Plan'!$L:$L)), 0)</f>
        <v>0</v>
      </c>
      <c r="J262" s="1">
        <f>SUMIF($A:$A,A262,$G:$G)</f>
        <v>3</v>
      </c>
      <c r="K262" s="1"/>
    </row>
    <row r="263" spans="1:11" ht="32.1" customHeight="1">
      <c r="A263" s="1">
        <v>83</v>
      </c>
      <c r="B263" s="7">
        <v>46380</v>
      </c>
      <c r="C263" s="1">
        <v>3</v>
      </c>
      <c r="D263" s="1" t="s">
        <v>1106</v>
      </c>
      <c r="E263" s="1" t="s">
        <v>281</v>
      </c>
      <c r="F263" s="8" t="s">
        <v>1107</v>
      </c>
      <c r="G263" s="1">
        <v>0.5</v>
      </c>
      <c r="H263" s="1" t="str">
        <f>IFERROR(_xlfn.SINGLE(_xlfn.XLOOKUP(D263, 'Task Plan'!$A:$A, 'Task Plan'!$K:$K)), "")</f>
        <v>Not Started</v>
      </c>
      <c r="I263" s="6">
        <f>IFERROR(_xlfn.SINGLE(_xlfn.XLOOKUP(D263, 'Task Plan'!$A:$A, 'Task Plan'!$L:$L)), 0)</f>
        <v>0</v>
      </c>
      <c r="J263" s="1">
        <f>SUMIF($A:$A,A263,$G:$G)</f>
        <v>3</v>
      </c>
      <c r="K263" s="1"/>
    </row>
    <row r="264" spans="1:11" ht="32.1" customHeight="1">
      <c r="A264" s="1">
        <v>84</v>
      </c>
      <c r="B264" s="7">
        <v>46381</v>
      </c>
      <c r="C264" s="1">
        <v>2.5</v>
      </c>
      <c r="D264" s="1" t="s">
        <v>1106</v>
      </c>
      <c r="E264" s="1" t="s">
        <v>281</v>
      </c>
      <c r="F264" s="8" t="s">
        <v>1107</v>
      </c>
      <c r="G264" s="1">
        <v>0.5</v>
      </c>
      <c r="H264" s="1" t="str">
        <f>IFERROR(_xlfn.SINGLE(_xlfn.XLOOKUP(D264, 'Task Plan'!$A:$A, 'Task Plan'!$K:$K)), "")</f>
        <v>Not Started</v>
      </c>
      <c r="I264" s="6">
        <f>IFERROR(_xlfn.SINGLE(_xlfn.XLOOKUP(D264, 'Task Plan'!$A:$A, 'Task Plan'!$L:$L)), 0)</f>
        <v>0</v>
      </c>
      <c r="J264" s="1">
        <f>SUMIF($A:$A,A264,$G:$G)</f>
        <v>2.5</v>
      </c>
      <c r="K264" s="1"/>
    </row>
    <row r="265" spans="1:11" ht="32.1" customHeight="1">
      <c r="A265" s="1">
        <v>84</v>
      </c>
      <c r="B265" s="7">
        <v>46381</v>
      </c>
      <c r="C265" s="1">
        <v>2.5</v>
      </c>
      <c r="D265" s="1" t="s">
        <v>1109</v>
      </c>
      <c r="E265" s="1" t="s">
        <v>281</v>
      </c>
      <c r="F265" s="8" t="s">
        <v>1110</v>
      </c>
      <c r="G265" s="1">
        <v>2</v>
      </c>
      <c r="H265" s="1" t="str">
        <f>IFERROR(_xlfn.SINGLE(_xlfn.XLOOKUP(D265, 'Task Plan'!$A:$A, 'Task Plan'!$K:$K)), "")</f>
        <v>Not Started</v>
      </c>
      <c r="I265" s="6">
        <f>IFERROR(_xlfn.SINGLE(_xlfn.XLOOKUP(D265, 'Task Plan'!$A:$A, 'Task Plan'!$L:$L)), 0)</f>
        <v>0</v>
      </c>
      <c r="J265" s="1">
        <f>SUMIF($A:$A,A265,$G:$G)</f>
        <v>2.5</v>
      </c>
      <c r="K265" s="1"/>
    </row>
    <row r="266" spans="1:11" ht="32.1" customHeight="1">
      <c r="A266" s="1">
        <v>85</v>
      </c>
      <c r="B266" s="7">
        <v>46384</v>
      </c>
      <c r="C266" s="1">
        <v>2</v>
      </c>
      <c r="D266" s="1" t="s">
        <v>1111</v>
      </c>
      <c r="E266" s="1" t="s">
        <v>281</v>
      </c>
      <c r="F266" s="8" t="s">
        <v>1112</v>
      </c>
      <c r="G266" s="1">
        <v>1</v>
      </c>
      <c r="H266" s="1" t="str">
        <f>IFERROR(_xlfn.SINGLE(_xlfn.XLOOKUP(D266, 'Task Plan'!$A:$A, 'Task Plan'!$K:$K)), "")</f>
        <v>Not Started</v>
      </c>
      <c r="I266" s="6">
        <f>IFERROR(_xlfn.SINGLE(_xlfn.XLOOKUP(D266, 'Task Plan'!$A:$A, 'Task Plan'!$L:$L)), 0)</f>
        <v>0</v>
      </c>
      <c r="J266" s="1">
        <f>SUMIF($A:$A,A266,$G:$G)</f>
        <v>2</v>
      </c>
      <c r="K266" s="1"/>
    </row>
    <row r="267" spans="1:11" ht="32.1" customHeight="1">
      <c r="A267" s="1">
        <v>85</v>
      </c>
      <c r="B267" s="7">
        <v>46384</v>
      </c>
      <c r="C267" s="1">
        <v>2</v>
      </c>
      <c r="D267" s="1" t="s">
        <v>1114</v>
      </c>
      <c r="E267" s="1" t="s">
        <v>281</v>
      </c>
      <c r="F267" s="8" t="s">
        <v>1115</v>
      </c>
      <c r="G267" s="1">
        <v>0.5</v>
      </c>
      <c r="H267" s="1" t="str">
        <f>IFERROR(_xlfn.SINGLE(_xlfn.XLOOKUP(D267, 'Task Plan'!$A:$A, 'Task Plan'!$K:$K)), "")</f>
        <v>Not Started</v>
      </c>
      <c r="I267" s="6">
        <f>IFERROR(_xlfn.SINGLE(_xlfn.XLOOKUP(D267, 'Task Plan'!$A:$A, 'Task Plan'!$L:$L)), 0)</f>
        <v>0</v>
      </c>
      <c r="J267" s="1">
        <f>SUMIF($A:$A,A267,$G:$G)</f>
        <v>2</v>
      </c>
      <c r="K267" s="1"/>
    </row>
    <row r="268" spans="1:11" ht="32.1" customHeight="1">
      <c r="A268" s="1">
        <v>85</v>
      </c>
      <c r="B268" s="7">
        <v>46384</v>
      </c>
      <c r="C268" s="1">
        <v>2</v>
      </c>
      <c r="D268" s="1" t="s">
        <v>1117</v>
      </c>
      <c r="E268" s="1" t="s">
        <v>281</v>
      </c>
      <c r="F268" s="8" t="s">
        <v>1118</v>
      </c>
      <c r="G268" s="1">
        <v>0.5</v>
      </c>
      <c r="H268" s="1" t="str">
        <f>IFERROR(_xlfn.SINGLE(_xlfn.XLOOKUP(D268, 'Task Plan'!$A:$A, 'Task Plan'!$K:$K)), "")</f>
        <v>Not Started</v>
      </c>
      <c r="I268" s="6">
        <f>IFERROR(_xlfn.SINGLE(_xlfn.XLOOKUP(D268, 'Task Plan'!$A:$A, 'Task Plan'!$L:$L)), 0)</f>
        <v>0</v>
      </c>
      <c r="J268" s="1">
        <f>SUMIF($A:$A,A268,$G:$G)</f>
        <v>2</v>
      </c>
      <c r="K268" s="1"/>
    </row>
    <row r="269" spans="1:11" ht="32.1" customHeight="1">
      <c r="A269" s="1">
        <v>86</v>
      </c>
      <c r="B269" s="7">
        <v>46385</v>
      </c>
      <c r="C269" s="1">
        <v>3</v>
      </c>
      <c r="D269" s="1" t="s">
        <v>1117</v>
      </c>
      <c r="E269" s="1" t="s">
        <v>281</v>
      </c>
      <c r="F269" s="8" t="s">
        <v>1118</v>
      </c>
      <c r="G269" s="1">
        <v>0.5</v>
      </c>
      <c r="H269" s="1" t="str">
        <f>IFERROR(_xlfn.SINGLE(_xlfn.XLOOKUP(D269, 'Task Plan'!$A:$A, 'Task Plan'!$K:$K)), "")</f>
        <v>Not Started</v>
      </c>
      <c r="I269" s="6">
        <f>IFERROR(_xlfn.SINGLE(_xlfn.XLOOKUP(D269, 'Task Plan'!$A:$A, 'Task Plan'!$L:$L)), 0)</f>
        <v>0</v>
      </c>
      <c r="J269" s="1">
        <f>SUMIF($A:$A,A269,$G:$G)</f>
        <v>3</v>
      </c>
      <c r="K269" s="1"/>
    </row>
    <row r="270" spans="1:11" ht="32.1" customHeight="1">
      <c r="A270" s="1">
        <v>86</v>
      </c>
      <c r="B270" s="7">
        <v>46385</v>
      </c>
      <c r="C270" s="1">
        <v>3</v>
      </c>
      <c r="D270" s="1" t="s">
        <v>1120</v>
      </c>
      <c r="E270" s="1" t="s">
        <v>281</v>
      </c>
      <c r="F270" s="8" t="s">
        <v>1121</v>
      </c>
      <c r="G270" s="1">
        <v>1</v>
      </c>
      <c r="H270" s="1" t="str">
        <f>IFERROR(_xlfn.SINGLE(_xlfn.XLOOKUP(D270, 'Task Plan'!$A:$A, 'Task Plan'!$K:$K)), "")</f>
        <v>Not Started</v>
      </c>
      <c r="I270" s="6">
        <f>IFERROR(_xlfn.SINGLE(_xlfn.XLOOKUP(D270, 'Task Plan'!$A:$A, 'Task Plan'!$L:$L)), 0)</f>
        <v>0</v>
      </c>
      <c r="J270" s="1">
        <f>SUMIF($A:$A,A270,$G:$G)</f>
        <v>3</v>
      </c>
      <c r="K270" s="1"/>
    </row>
    <row r="271" spans="1:11" ht="32.1" customHeight="1">
      <c r="A271" s="1">
        <v>86</v>
      </c>
      <c r="B271" s="7">
        <v>46385</v>
      </c>
      <c r="C271" s="1">
        <v>3</v>
      </c>
      <c r="D271" s="1" t="s">
        <v>1123</v>
      </c>
      <c r="E271" s="1" t="s">
        <v>281</v>
      </c>
      <c r="F271" s="8" t="s">
        <v>1124</v>
      </c>
      <c r="G271" s="1">
        <v>1.5</v>
      </c>
      <c r="H271" s="1" t="str">
        <f>IFERROR(_xlfn.SINGLE(_xlfn.XLOOKUP(D271, 'Task Plan'!$A:$A, 'Task Plan'!$K:$K)), "")</f>
        <v>Not Started</v>
      </c>
      <c r="I271" s="6">
        <f>IFERROR(_xlfn.SINGLE(_xlfn.XLOOKUP(D271, 'Task Plan'!$A:$A, 'Task Plan'!$L:$L)), 0)</f>
        <v>0</v>
      </c>
      <c r="J271" s="1">
        <f>SUMIF($A:$A,A271,$G:$G)</f>
        <v>3</v>
      </c>
      <c r="K271" s="1"/>
    </row>
    <row r="272" spans="1:11" ht="32.1" customHeight="1">
      <c r="A272" s="1">
        <v>87</v>
      </c>
      <c r="B272" s="7">
        <v>46386</v>
      </c>
      <c r="C272" s="1">
        <v>2.5</v>
      </c>
      <c r="D272" s="1" t="s">
        <v>1125</v>
      </c>
      <c r="E272" s="1" t="s">
        <v>281</v>
      </c>
      <c r="F272" s="8" t="s">
        <v>1126</v>
      </c>
      <c r="G272" s="1">
        <v>1</v>
      </c>
      <c r="H272" s="1" t="str">
        <f>IFERROR(_xlfn.SINGLE(_xlfn.XLOOKUP(D272, 'Task Plan'!$A:$A, 'Task Plan'!$K:$K)), "")</f>
        <v>Not Started</v>
      </c>
      <c r="I272" s="6">
        <f>IFERROR(_xlfn.SINGLE(_xlfn.XLOOKUP(D272, 'Task Plan'!$A:$A, 'Task Plan'!$L:$L)), 0)</f>
        <v>0</v>
      </c>
      <c r="J272" s="1">
        <f>SUMIF($A:$A,A272,$G:$G)</f>
        <v>2.5</v>
      </c>
      <c r="K272" s="1"/>
    </row>
    <row r="273" spans="1:11" ht="32.1" customHeight="1">
      <c r="A273" s="1">
        <v>87</v>
      </c>
      <c r="B273" s="7">
        <v>46386</v>
      </c>
      <c r="C273" s="1">
        <v>2.5</v>
      </c>
      <c r="D273" s="1" t="s">
        <v>1128</v>
      </c>
      <c r="E273" s="1" t="s">
        <v>281</v>
      </c>
      <c r="F273" s="8" t="s">
        <v>1129</v>
      </c>
      <c r="G273" s="1">
        <v>0.5</v>
      </c>
      <c r="H273" s="1" t="str">
        <f>IFERROR(_xlfn.SINGLE(_xlfn.XLOOKUP(D273, 'Task Plan'!$A:$A, 'Task Plan'!$K:$K)), "")</f>
        <v>Not Started</v>
      </c>
      <c r="I273" s="6">
        <f>IFERROR(_xlfn.SINGLE(_xlfn.XLOOKUP(D273, 'Task Plan'!$A:$A, 'Task Plan'!$L:$L)), 0)</f>
        <v>0</v>
      </c>
      <c r="J273" s="1">
        <f>SUMIF($A:$A,A273,$G:$G)</f>
        <v>2.5</v>
      </c>
      <c r="K273" s="1"/>
    </row>
    <row r="274" spans="1:11" ht="32.1" customHeight="1">
      <c r="A274" s="1">
        <v>87</v>
      </c>
      <c r="B274" s="7">
        <v>46386</v>
      </c>
      <c r="C274" s="1">
        <v>2.5</v>
      </c>
      <c r="D274" s="1" t="s">
        <v>1131</v>
      </c>
      <c r="E274" s="1" t="s">
        <v>281</v>
      </c>
      <c r="F274" s="8" t="s">
        <v>1132</v>
      </c>
      <c r="G274" s="1">
        <v>0.5</v>
      </c>
      <c r="H274" s="1" t="str">
        <f>IFERROR(_xlfn.SINGLE(_xlfn.XLOOKUP(D274, 'Task Plan'!$A:$A, 'Task Plan'!$K:$K)), "")</f>
        <v>Not Started</v>
      </c>
      <c r="I274" s="6">
        <f>IFERROR(_xlfn.SINGLE(_xlfn.XLOOKUP(D274, 'Task Plan'!$A:$A, 'Task Plan'!$L:$L)), 0)</f>
        <v>0</v>
      </c>
      <c r="J274" s="1">
        <f>SUMIF($A:$A,A274,$G:$G)</f>
        <v>2.5</v>
      </c>
      <c r="K274" s="1"/>
    </row>
    <row r="275" spans="1:11" ht="32.1" customHeight="1">
      <c r="A275" s="1">
        <v>87</v>
      </c>
      <c r="B275" s="7">
        <v>46386</v>
      </c>
      <c r="C275" s="1">
        <v>2.5</v>
      </c>
      <c r="D275" s="1" t="s">
        <v>1134</v>
      </c>
      <c r="E275" s="1" t="s">
        <v>281</v>
      </c>
      <c r="F275" s="8" t="s">
        <v>1135</v>
      </c>
      <c r="G275" s="1">
        <v>0.5</v>
      </c>
      <c r="H275" s="1" t="str">
        <f>IFERROR(_xlfn.SINGLE(_xlfn.XLOOKUP(D275, 'Task Plan'!$A:$A, 'Task Plan'!$K:$K)), "")</f>
        <v>Not Started</v>
      </c>
      <c r="I275" s="6">
        <f>IFERROR(_xlfn.SINGLE(_xlfn.XLOOKUP(D275, 'Task Plan'!$A:$A, 'Task Plan'!$L:$L)), 0)</f>
        <v>0</v>
      </c>
      <c r="J275" s="1">
        <f>SUMIF($A:$A,A275,$G:$G)</f>
        <v>2.5</v>
      </c>
      <c r="K275" s="1"/>
    </row>
    <row r="276" spans="1:11" ht="32.1" customHeight="1">
      <c r="A276" s="1">
        <v>88</v>
      </c>
      <c r="B276" s="7">
        <v>46387</v>
      </c>
      <c r="C276" s="1">
        <v>3</v>
      </c>
      <c r="D276" s="1" t="s">
        <v>1137</v>
      </c>
      <c r="E276" s="1" t="s">
        <v>281</v>
      </c>
      <c r="F276" s="8" t="s">
        <v>1138</v>
      </c>
      <c r="G276" s="1">
        <v>1.5</v>
      </c>
      <c r="H276" s="1" t="str">
        <f>IFERROR(_xlfn.SINGLE(_xlfn.XLOOKUP(D276, 'Task Plan'!$A:$A, 'Task Plan'!$K:$K)), "")</f>
        <v>Not Started</v>
      </c>
      <c r="I276" s="6">
        <f>IFERROR(_xlfn.SINGLE(_xlfn.XLOOKUP(D276, 'Task Plan'!$A:$A, 'Task Plan'!$L:$L)), 0)</f>
        <v>0</v>
      </c>
      <c r="J276" s="1">
        <f>SUMIF($A:$A,A276,$G:$G)</f>
        <v>3</v>
      </c>
      <c r="K276" s="1"/>
    </row>
    <row r="277" spans="1:11" ht="32.1" customHeight="1">
      <c r="A277" s="1">
        <v>88</v>
      </c>
      <c r="B277" s="7">
        <v>46387</v>
      </c>
      <c r="C277" s="1">
        <v>3</v>
      </c>
      <c r="D277" s="1" t="s">
        <v>1139</v>
      </c>
      <c r="E277" s="1" t="s">
        <v>281</v>
      </c>
      <c r="F277" s="8" t="s">
        <v>1140</v>
      </c>
      <c r="G277" s="1">
        <v>1</v>
      </c>
      <c r="H277" s="1" t="str">
        <f>IFERROR(_xlfn.SINGLE(_xlfn.XLOOKUP(D277, 'Task Plan'!$A:$A, 'Task Plan'!$K:$K)), "")</f>
        <v>Not Started</v>
      </c>
      <c r="I277" s="6">
        <f>IFERROR(_xlfn.SINGLE(_xlfn.XLOOKUP(D277, 'Task Plan'!$A:$A, 'Task Plan'!$L:$L)), 0)</f>
        <v>0</v>
      </c>
      <c r="J277" s="1">
        <f>SUMIF($A:$A,A277,$G:$G)</f>
        <v>3</v>
      </c>
      <c r="K277" s="1"/>
    </row>
    <row r="278" spans="1:11" ht="32.1" customHeight="1">
      <c r="A278" s="1">
        <v>88</v>
      </c>
      <c r="B278" s="7">
        <v>46387</v>
      </c>
      <c r="C278" s="1">
        <v>3</v>
      </c>
      <c r="D278" s="1" t="s">
        <v>1142</v>
      </c>
      <c r="E278" s="1" t="s">
        <v>281</v>
      </c>
      <c r="F278" s="8" t="s">
        <v>1143</v>
      </c>
      <c r="G278" s="1">
        <v>0.5</v>
      </c>
      <c r="H278" s="1" t="str">
        <f>IFERROR(_xlfn.SINGLE(_xlfn.XLOOKUP(D278, 'Task Plan'!$A:$A, 'Task Plan'!$K:$K)), "")</f>
        <v>Not Started</v>
      </c>
      <c r="I278" s="6">
        <f>IFERROR(_xlfn.SINGLE(_xlfn.XLOOKUP(D278, 'Task Plan'!$A:$A, 'Task Plan'!$L:$L)), 0)</f>
        <v>0</v>
      </c>
      <c r="J278" s="1">
        <f>SUMIF($A:$A,A278,$G:$G)</f>
        <v>3</v>
      </c>
      <c r="K278" s="1"/>
    </row>
    <row r="279" spans="1:11" ht="32.1" customHeight="1">
      <c r="A279" s="1">
        <v>89</v>
      </c>
      <c r="B279" s="7">
        <v>46388</v>
      </c>
      <c r="C279" s="1">
        <v>3</v>
      </c>
      <c r="D279" s="1" t="s">
        <v>1145</v>
      </c>
      <c r="E279" s="1" t="s">
        <v>281</v>
      </c>
      <c r="F279" s="8" t="s">
        <v>1146</v>
      </c>
      <c r="G279" s="1">
        <v>1</v>
      </c>
      <c r="H279" s="1" t="str">
        <f>IFERROR(_xlfn.SINGLE(_xlfn.XLOOKUP(D279, 'Task Plan'!$A:$A, 'Task Plan'!$K:$K)), "")</f>
        <v>Not Started</v>
      </c>
      <c r="I279" s="6">
        <f>IFERROR(_xlfn.SINGLE(_xlfn.XLOOKUP(D279, 'Task Plan'!$A:$A, 'Task Plan'!$L:$L)), 0)</f>
        <v>0</v>
      </c>
      <c r="J279" s="1">
        <f>SUMIF($A:$A,A279,$G:$G)</f>
        <v>3</v>
      </c>
      <c r="K279" s="1"/>
    </row>
    <row r="280" spans="1:11" ht="32.1" customHeight="1">
      <c r="A280" s="1">
        <v>89</v>
      </c>
      <c r="B280" s="7">
        <v>46388</v>
      </c>
      <c r="C280" s="1">
        <v>3</v>
      </c>
      <c r="D280" s="1" t="s">
        <v>1148</v>
      </c>
      <c r="E280" s="1" t="s">
        <v>281</v>
      </c>
      <c r="F280" s="8" t="s">
        <v>1149</v>
      </c>
      <c r="G280" s="1">
        <v>0.5</v>
      </c>
      <c r="H280" s="1" t="str">
        <f>IFERROR(_xlfn.SINGLE(_xlfn.XLOOKUP(D280, 'Task Plan'!$A:$A, 'Task Plan'!$K:$K)), "")</f>
        <v>Not Started</v>
      </c>
      <c r="I280" s="6">
        <f>IFERROR(_xlfn.SINGLE(_xlfn.XLOOKUP(D280, 'Task Plan'!$A:$A, 'Task Plan'!$L:$L)), 0)</f>
        <v>0</v>
      </c>
      <c r="J280" s="1">
        <f>SUMIF($A:$A,A280,$G:$G)</f>
        <v>3</v>
      </c>
      <c r="K280" s="1"/>
    </row>
    <row r="281" spans="1:11" ht="32.1" customHeight="1">
      <c r="A281" s="1">
        <v>89</v>
      </c>
      <c r="B281" s="7">
        <v>46388</v>
      </c>
      <c r="C281" s="1">
        <v>3</v>
      </c>
      <c r="D281" s="1" t="s">
        <v>1151</v>
      </c>
      <c r="E281" s="1" t="s">
        <v>281</v>
      </c>
      <c r="F281" s="8" t="s">
        <v>1152</v>
      </c>
      <c r="G281" s="1">
        <v>1.5</v>
      </c>
      <c r="H281" s="1" t="str">
        <f>IFERROR(_xlfn.SINGLE(_xlfn.XLOOKUP(D281, 'Task Plan'!$A:$A, 'Task Plan'!$K:$K)), "")</f>
        <v>Not Started</v>
      </c>
      <c r="I281" s="6">
        <f>IFERROR(_xlfn.SINGLE(_xlfn.XLOOKUP(D281, 'Task Plan'!$A:$A, 'Task Plan'!$L:$L)), 0)</f>
        <v>0</v>
      </c>
      <c r="J281" s="1">
        <f>SUMIF($A:$A,A281,$G:$G)</f>
        <v>3</v>
      </c>
      <c r="K281" s="1"/>
    </row>
    <row r="282" spans="1:11" ht="32.1" customHeight="1">
      <c r="A282" s="1">
        <v>90</v>
      </c>
      <c r="B282" s="7">
        <v>46391</v>
      </c>
      <c r="C282" s="1">
        <v>2.5</v>
      </c>
      <c r="D282" s="1" t="s">
        <v>1151</v>
      </c>
      <c r="E282" s="1" t="s">
        <v>281</v>
      </c>
      <c r="F282" s="8" t="s">
        <v>1152</v>
      </c>
      <c r="G282" s="1">
        <v>0.5</v>
      </c>
      <c r="H282" s="1" t="str">
        <f>IFERROR(_xlfn.SINGLE(_xlfn.XLOOKUP(D282, 'Task Plan'!$A:$A, 'Task Plan'!$K:$K)), "")</f>
        <v>Not Started</v>
      </c>
      <c r="I282" s="6">
        <f>IFERROR(_xlfn.SINGLE(_xlfn.XLOOKUP(D282, 'Task Plan'!$A:$A, 'Task Plan'!$L:$L)), 0)</f>
        <v>0</v>
      </c>
      <c r="J282" s="1">
        <f>SUMIF($A:$A,A282,$G:$G)</f>
        <v>2.5</v>
      </c>
      <c r="K282" s="1"/>
    </row>
    <row r="283" spans="1:11" ht="32.1" customHeight="1">
      <c r="A283" s="1">
        <v>90</v>
      </c>
      <c r="B283" s="7">
        <v>46391</v>
      </c>
      <c r="C283" s="1">
        <v>2.5</v>
      </c>
      <c r="D283" s="1" t="s">
        <v>1153</v>
      </c>
      <c r="E283" s="1" t="s">
        <v>281</v>
      </c>
      <c r="F283" s="8" t="s">
        <v>1154</v>
      </c>
      <c r="G283" s="1">
        <v>1</v>
      </c>
      <c r="H283" s="1" t="str">
        <f>IFERROR(_xlfn.SINGLE(_xlfn.XLOOKUP(D283, 'Task Plan'!$A:$A, 'Task Plan'!$K:$K)), "")</f>
        <v>Not Started</v>
      </c>
      <c r="I283" s="6">
        <f>IFERROR(_xlfn.SINGLE(_xlfn.XLOOKUP(D283, 'Task Plan'!$A:$A, 'Task Plan'!$L:$L)), 0)</f>
        <v>0</v>
      </c>
      <c r="J283" s="1">
        <f>SUMIF($A:$A,A283,$G:$G)</f>
        <v>2.5</v>
      </c>
      <c r="K283" s="1"/>
    </row>
    <row r="284" spans="1:11" ht="32.1" customHeight="1">
      <c r="A284" s="1">
        <v>90</v>
      </c>
      <c r="B284" s="7">
        <v>46391</v>
      </c>
      <c r="C284" s="1">
        <v>2.5</v>
      </c>
      <c r="D284" s="1" t="s">
        <v>1156</v>
      </c>
      <c r="E284" s="1" t="s">
        <v>281</v>
      </c>
      <c r="F284" s="8" t="s">
        <v>1157</v>
      </c>
      <c r="G284" s="1">
        <v>0.5</v>
      </c>
      <c r="H284" s="1" t="str">
        <f>IFERROR(_xlfn.SINGLE(_xlfn.XLOOKUP(D284, 'Task Plan'!$A:$A, 'Task Plan'!$K:$K)), "")</f>
        <v>Not Started</v>
      </c>
      <c r="I284" s="6">
        <f>IFERROR(_xlfn.SINGLE(_xlfn.XLOOKUP(D284, 'Task Plan'!$A:$A, 'Task Plan'!$L:$L)), 0)</f>
        <v>0</v>
      </c>
      <c r="J284" s="1">
        <f>SUMIF($A:$A,A284,$G:$G)</f>
        <v>2.5</v>
      </c>
      <c r="K284" s="1"/>
    </row>
    <row r="285" spans="1:11" ht="32.1" customHeight="1">
      <c r="A285" s="1">
        <v>90</v>
      </c>
      <c r="B285" s="7">
        <v>46391</v>
      </c>
      <c r="C285" s="1">
        <v>2.5</v>
      </c>
      <c r="D285" s="1" t="s">
        <v>1159</v>
      </c>
      <c r="E285" s="1" t="s">
        <v>281</v>
      </c>
      <c r="F285" s="8" t="s">
        <v>1160</v>
      </c>
      <c r="G285" s="1">
        <v>0.5</v>
      </c>
      <c r="H285" s="1" t="str">
        <f>IFERROR(_xlfn.SINGLE(_xlfn.XLOOKUP(D285, 'Task Plan'!$A:$A, 'Task Plan'!$K:$K)), "")</f>
        <v>Not Started</v>
      </c>
      <c r="I285" s="6">
        <f>IFERROR(_xlfn.SINGLE(_xlfn.XLOOKUP(D285, 'Task Plan'!$A:$A, 'Task Plan'!$L:$L)), 0)</f>
        <v>0</v>
      </c>
      <c r="J285" s="1">
        <f>SUMIF($A:$A,A285,$G:$G)</f>
        <v>2.5</v>
      </c>
      <c r="K285" s="1"/>
    </row>
    <row r="286" spans="1:11" ht="32.1" customHeight="1">
      <c r="A286" s="1">
        <v>91</v>
      </c>
      <c r="B286" s="7">
        <v>46392</v>
      </c>
      <c r="C286" s="1">
        <v>3</v>
      </c>
      <c r="D286" s="1" t="s">
        <v>1162</v>
      </c>
      <c r="E286" s="1" t="s">
        <v>281</v>
      </c>
      <c r="F286" s="8" t="s">
        <v>1163</v>
      </c>
      <c r="G286" s="1">
        <v>1</v>
      </c>
      <c r="H286" s="1" t="str">
        <f>IFERROR(_xlfn.SINGLE(_xlfn.XLOOKUP(D286, 'Task Plan'!$A:$A, 'Task Plan'!$K:$K)), "")</f>
        <v>Not Started</v>
      </c>
      <c r="I286" s="6">
        <f>IFERROR(_xlfn.SINGLE(_xlfn.XLOOKUP(D286, 'Task Plan'!$A:$A, 'Task Plan'!$L:$L)), 0)</f>
        <v>0</v>
      </c>
      <c r="J286" s="1">
        <f>SUMIF($A:$A,A286,$G:$G)</f>
        <v>3</v>
      </c>
      <c r="K286" s="1"/>
    </row>
    <row r="287" spans="1:11" ht="32.1" customHeight="1">
      <c r="A287" s="1">
        <v>91</v>
      </c>
      <c r="B287" s="7">
        <v>46392</v>
      </c>
      <c r="C287" s="1">
        <v>3</v>
      </c>
      <c r="D287" s="1" t="s">
        <v>1165</v>
      </c>
      <c r="E287" s="1" t="s">
        <v>281</v>
      </c>
      <c r="F287" s="8" t="s">
        <v>1166</v>
      </c>
      <c r="G287" s="1">
        <v>2</v>
      </c>
      <c r="H287" s="1" t="str">
        <f>IFERROR(_xlfn.SINGLE(_xlfn.XLOOKUP(D287, 'Task Plan'!$A:$A, 'Task Plan'!$K:$K)), "")</f>
        <v>Not Started</v>
      </c>
      <c r="I287" s="6">
        <f>IFERROR(_xlfn.SINGLE(_xlfn.XLOOKUP(D287, 'Task Plan'!$A:$A, 'Task Plan'!$L:$L)), 0)</f>
        <v>0</v>
      </c>
      <c r="J287" s="1">
        <f>SUMIF($A:$A,A287,$G:$G)</f>
        <v>3</v>
      </c>
      <c r="K287" s="1"/>
    </row>
    <row r="288" spans="1:11" ht="32.1" customHeight="1">
      <c r="A288" s="1">
        <v>92</v>
      </c>
      <c r="B288" s="7">
        <v>46393</v>
      </c>
      <c r="C288" s="1">
        <v>2</v>
      </c>
      <c r="D288" s="1" t="s">
        <v>1167</v>
      </c>
      <c r="E288" s="1" t="s">
        <v>281</v>
      </c>
      <c r="F288" s="8" t="s">
        <v>1168</v>
      </c>
      <c r="G288" s="1">
        <v>1</v>
      </c>
      <c r="H288" s="1" t="str">
        <f>IFERROR(_xlfn.SINGLE(_xlfn.XLOOKUP(D288, 'Task Plan'!$A:$A, 'Task Plan'!$K:$K)), "")</f>
        <v>Not Started</v>
      </c>
      <c r="I288" s="6">
        <f>IFERROR(_xlfn.SINGLE(_xlfn.XLOOKUP(D288, 'Task Plan'!$A:$A, 'Task Plan'!$L:$L)), 0)</f>
        <v>0</v>
      </c>
      <c r="J288" s="1">
        <f>SUMIF($A:$A,A288,$G:$G)</f>
        <v>2</v>
      </c>
      <c r="K288" s="1"/>
    </row>
    <row r="289" spans="1:11" ht="32.1" customHeight="1">
      <c r="A289" s="1">
        <v>92</v>
      </c>
      <c r="B289" s="7">
        <v>46393</v>
      </c>
      <c r="C289" s="1">
        <v>2</v>
      </c>
      <c r="D289" s="1" t="s">
        <v>1170</v>
      </c>
      <c r="E289" s="1" t="s">
        <v>281</v>
      </c>
      <c r="F289" s="8" t="s">
        <v>1171</v>
      </c>
      <c r="G289" s="1">
        <v>0.5</v>
      </c>
      <c r="H289" s="1" t="str">
        <f>IFERROR(_xlfn.SINGLE(_xlfn.XLOOKUP(D289, 'Task Plan'!$A:$A, 'Task Plan'!$K:$K)), "")</f>
        <v>Not Started</v>
      </c>
      <c r="I289" s="6">
        <f>IFERROR(_xlfn.SINGLE(_xlfn.XLOOKUP(D289, 'Task Plan'!$A:$A, 'Task Plan'!$L:$L)), 0)</f>
        <v>0</v>
      </c>
      <c r="J289" s="1">
        <f>SUMIF($A:$A,A289,$G:$G)</f>
        <v>2</v>
      </c>
      <c r="K289" s="1"/>
    </row>
    <row r="290" spans="1:11" ht="32.1" customHeight="1">
      <c r="A290" s="1">
        <v>92</v>
      </c>
      <c r="B290" s="7">
        <v>46393</v>
      </c>
      <c r="C290" s="1">
        <v>2</v>
      </c>
      <c r="D290" s="1" t="s">
        <v>1173</v>
      </c>
      <c r="E290" s="1" t="s">
        <v>281</v>
      </c>
      <c r="F290" s="8" t="s">
        <v>1174</v>
      </c>
      <c r="G290" s="1">
        <v>0.5</v>
      </c>
      <c r="H290" s="1" t="str">
        <f>IFERROR(_xlfn.SINGLE(_xlfn.XLOOKUP(D290, 'Task Plan'!$A:$A, 'Task Plan'!$K:$K)), "")</f>
        <v>Not Started</v>
      </c>
      <c r="I290" s="6">
        <f>IFERROR(_xlfn.SINGLE(_xlfn.XLOOKUP(D290, 'Task Plan'!$A:$A, 'Task Plan'!$L:$L)), 0)</f>
        <v>0</v>
      </c>
      <c r="J290" s="1">
        <f>SUMIF($A:$A,A290,$G:$G)</f>
        <v>2</v>
      </c>
      <c r="K290" s="1"/>
    </row>
    <row r="291" spans="1:11" ht="32.1" customHeight="1">
      <c r="A291" s="1">
        <v>93</v>
      </c>
      <c r="B291" s="7">
        <v>46394</v>
      </c>
      <c r="C291" s="1">
        <v>2</v>
      </c>
      <c r="D291" s="1" t="s">
        <v>1176</v>
      </c>
      <c r="E291" s="1" t="s">
        <v>281</v>
      </c>
      <c r="F291" s="8" t="s">
        <v>1177</v>
      </c>
      <c r="G291" s="1">
        <v>0.5</v>
      </c>
      <c r="H291" s="1" t="str">
        <f>IFERROR(_xlfn.SINGLE(_xlfn.XLOOKUP(D291, 'Task Plan'!$A:$A, 'Task Plan'!$K:$K)), "")</f>
        <v>Not Started</v>
      </c>
      <c r="I291" s="6">
        <f>IFERROR(_xlfn.SINGLE(_xlfn.XLOOKUP(D291, 'Task Plan'!$A:$A, 'Task Plan'!$L:$L)), 0)</f>
        <v>0</v>
      </c>
      <c r="J291" s="1">
        <f>SUMIF($A:$A,A291,$G:$G)</f>
        <v>2</v>
      </c>
      <c r="K291" s="1"/>
    </row>
    <row r="292" spans="1:11" ht="32.1" customHeight="1">
      <c r="A292" s="1">
        <v>93</v>
      </c>
      <c r="B292" s="7">
        <v>46394</v>
      </c>
      <c r="C292" s="1">
        <v>2</v>
      </c>
      <c r="D292" s="1" t="s">
        <v>1179</v>
      </c>
      <c r="E292" s="1" t="s">
        <v>281</v>
      </c>
      <c r="F292" s="8" t="s">
        <v>1180</v>
      </c>
      <c r="G292" s="1">
        <v>1.5</v>
      </c>
      <c r="H292" s="1" t="str">
        <f>IFERROR(_xlfn.SINGLE(_xlfn.XLOOKUP(D292, 'Task Plan'!$A:$A, 'Task Plan'!$K:$K)), "")</f>
        <v>Not Started</v>
      </c>
      <c r="I292" s="6">
        <f>IFERROR(_xlfn.SINGLE(_xlfn.XLOOKUP(D292, 'Task Plan'!$A:$A, 'Task Plan'!$L:$L)), 0)</f>
        <v>0</v>
      </c>
      <c r="J292" s="1">
        <f>SUMIF($A:$A,A292,$G:$G)</f>
        <v>2</v>
      </c>
      <c r="K292" s="1"/>
    </row>
    <row r="293" spans="1:11" ht="32.1" customHeight="1">
      <c r="A293" s="1">
        <v>94</v>
      </c>
      <c r="B293" s="7">
        <v>46395</v>
      </c>
      <c r="C293" s="1">
        <v>2</v>
      </c>
      <c r="D293" s="1" t="s">
        <v>1181</v>
      </c>
      <c r="E293" s="1" t="s">
        <v>281</v>
      </c>
      <c r="F293" s="8" t="s">
        <v>1182</v>
      </c>
      <c r="G293" s="1">
        <v>1</v>
      </c>
      <c r="H293" s="1" t="str">
        <f>IFERROR(_xlfn.SINGLE(_xlfn.XLOOKUP(D293, 'Task Plan'!$A:$A, 'Task Plan'!$K:$K)), "")</f>
        <v>Not Started</v>
      </c>
      <c r="I293" s="6">
        <f>IFERROR(_xlfn.SINGLE(_xlfn.XLOOKUP(D293, 'Task Plan'!$A:$A, 'Task Plan'!$L:$L)), 0)</f>
        <v>0</v>
      </c>
      <c r="J293" s="1">
        <f>SUMIF($A:$A,A293,$G:$G)</f>
        <v>2</v>
      </c>
      <c r="K293" s="1"/>
    </row>
    <row r="294" spans="1:11" ht="32.1" customHeight="1">
      <c r="A294" s="1">
        <v>94</v>
      </c>
      <c r="B294" s="7">
        <v>46395</v>
      </c>
      <c r="C294" s="1">
        <v>2</v>
      </c>
      <c r="D294" s="1" t="s">
        <v>1184</v>
      </c>
      <c r="E294" s="1" t="s">
        <v>281</v>
      </c>
      <c r="F294" s="8" t="s">
        <v>1185</v>
      </c>
      <c r="G294" s="1">
        <v>0.5</v>
      </c>
      <c r="H294" s="1" t="str">
        <f>IFERROR(_xlfn.SINGLE(_xlfn.XLOOKUP(D294, 'Task Plan'!$A:$A, 'Task Plan'!$K:$K)), "")</f>
        <v>Not Started</v>
      </c>
      <c r="I294" s="6">
        <f>IFERROR(_xlfn.SINGLE(_xlfn.XLOOKUP(D294, 'Task Plan'!$A:$A, 'Task Plan'!$L:$L)), 0)</f>
        <v>0</v>
      </c>
      <c r="J294" s="1">
        <f>SUMIF($A:$A,A294,$G:$G)</f>
        <v>2</v>
      </c>
      <c r="K294" s="1"/>
    </row>
    <row r="295" spans="1:11" ht="32.1" customHeight="1">
      <c r="A295" s="1">
        <v>94</v>
      </c>
      <c r="B295" s="7">
        <v>46395</v>
      </c>
      <c r="C295" s="1">
        <v>2</v>
      </c>
      <c r="D295" s="1" t="s">
        <v>1187</v>
      </c>
      <c r="E295" s="1" t="s">
        <v>333</v>
      </c>
      <c r="F295" s="8" t="s">
        <v>1188</v>
      </c>
      <c r="G295" s="1">
        <v>0.5</v>
      </c>
      <c r="H295" s="1" t="str">
        <f>IFERROR(_xlfn.SINGLE(_xlfn.XLOOKUP(D295, 'Task Plan'!$A:$A, 'Task Plan'!$K:$K)), "")</f>
        <v>Not Started</v>
      </c>
      <c r="I295" s="6">
        <f>IFERROR(_xlfn.SINGLE(_xlfn.XLOOKUP(D295, 'Task Plan'!$A:$A, 'Task Plan'!$L:$L)), 0)</f>
        <v>0</v>
      </c>
      <c r="J295" s="1">
        <f>SUMIF($A:$A,A295,$G:$G)</f>
        <v>2</v>
      </c>
      <c r="K295" s="1"/>
    </row>
    <row r="296" spans="1:11" ht="32.1" customHeight="1">
      <c r="A296" s="1">
        <v>95</v>
      </c>
      <c r="B296" s="7">
        <v>46398</v>
      </c>
      <c r="C296" s="1">
        <v>3</v>
      </c>
      <c r="D296" s="1" t="s">
        <v>1190</v>
      </c>
      <c r="E296" s="1" t="s">
        <v>333</v>
      </c>
      <c r="F296" s="8" t="s">
        <v>1191</v>
      </c>
      <c r="G296" s="1">
        <v>1</v>
      </c>
      <c r="H296" s="1" t="str">
        <f>IFERROR(_xlfn.SINGLE(_xlfn.XLOOKUP(D296, 'Task Plan'!$A:$A, 'Task Plan'!$K:$K)), "")</f>
        <v>Not Started</v>
      </c>
      <c r="I296" s="6">
        <f>IFERROR(_xlfn.SINGLE(_xlfn.XLOOKUP(D296, 'Task Plan'!$A:$A, 'Task Plan'!$L:$L)), 0)</f>
        <v>0</v>
      </c>
      <c r="J296" s="1">
        <f>SUMIF($A:$A,A296,$G:$G)</f>
        <v>3</v>
      </c>
      <c r="K296" s="1"/>
    </row>
    <row r="297" spans="1:11" ht="32.1" customHeight="1">
      <c r="A297" s="1">
        <v>95</v>
      </c>
      <c r="B297" s="7">
        <v>46398</v>
      </c>
      <c r="C297" s="1">
        <v>3</v>
      </c>
      <c r="D297" s="1" t="s">
        <v>1193</v>
      </c>
      <c r="E297" s="1" t="s">
        <v>333</v>
      </c>
      <c r="F297" s="8" t="s">
        <v>1194</v>
      </c>
      <c r="G297" s="1">
        <v>2</v>
      </c>
      <c r="H297" s="1" t="str">
        <f>IFERROR(_xlfn.SINGLE(_xlfn.XLOOKUP(D297, 'Task Plan'!$A:$A, 'Task Plan'!$K:$K)), "")</f>
        <v>Not Started</v>
      </c>
      <c r="I297" s="6">
        <f>IFERROR(_xlfn.SINGLE(_xlfn.XLOOKUP(D297, 'Task Plan'!$A:$A, 'Task Plan'!$L:$L)), 0)</f>
        <v>0</v>
      </c>
      <c r="J297" s="1">
        <f>SUMIF($A:$A,A297,$G:$G)</f>
        <v>3</v>
      </c>
      <c r="K297" s="1"/>
    </row>
    <row r="298" spans="1:11" ht="32.1" customHeight="1">
      <c r="A298" s="1">
        <v>96</v>
      </c>
      <c r="B298" s="7">
        <v>46399</v>
      </c>
      <c r="C298" s="1">
        <v>2</v>
      </c>
      <c r="D298" s="1" t="s">
        <v>1195</v>
      </c>
      <c r="E298" s="1" t="s">
        <v>333</v>
      </c>
      <c r="F298" s="8" t="s">
        <v>1196</v>
      </c>
      <c r="G298" s="1">
        <v>1</v>
      </c>
      <c r="H298" s="1" t="str">
        <f>IFERROR(_xlfn.SINGLE(_xlfn.XLOOKUP(D298, 'Task Plan'!$A:$A, 'Task Plan'!$K:$K)), "")</f>
        <v>Not Started</v>
      </c>
      <c r="I298" s="6">
        <f>IFERROR(_xlfn.SINGLE(_xlfn.XLOOKUP(D298, 'Task Plan'!$A:$A, 'Task Plan'!$L:$L)), 0)</f>
        <v>0</v>
      </c>
      <c r="J298" s="1">
        <f>SUMIF($A:$A,A298,$G:$G)</f>
        <v>2</v>
      </c>
      <c r="K298" s="1"/>
    </row>
    <row r="299" spans="1:11" ht="32.1" customHeight="1">
      <c r="A299" s="1">
        <v>96</v>
      </c>
      <c r="B299" s="7">
        <v>46399</v>
      </c>
      <c r="C299" s="1">
        <v>2</v>
      </c>
      <c r="D299" s="1" t="s">
        <v>1198</v>
      </c>
      <c r="E299" s="1" t="s">
        <v>333</v>
      </c>
      <c r="F299" s="8" t="s">
        <v>1199</v>
      </c>
      <c r="G299" s="1">
        <v>0.5</v>
      </c>
      <c r="H299" s="1" t="str">
        <f>IFERROR(_xlfn.SINGLE(_xlfn.XLOOKUP(D299, 'Task Plan'!$A:$A, 'Task Plan'!$K:$K)), "")</f>
        <v>Not Started</v>
      </c>
      <c r="I299" s="6">
        <f>IFERROR(_xlfn.SINGLE(_xlfn.XLOOKUP(D299, 'Task Plan'!$A:$A, 'Task Plan'!$L:$L)), 0)</f>
        <v>0</v>
      </c>
      <c r="J299" s="1">
        <f>SUMIF($A:$A,A299,$G:$G)</f>
        <v>2</v>
      </c>
      <c r="K299" s="1"/>
    </row>
    <row r="300" spans="1:11" ht="32.1" customHeight="1">
      <c r="A300" s="1">
        <v>96</v>
      </c>
      <c r="B300" s="7">
        <v>46399</v>
      </c>
      <c r="C300" s="1">
        <v>2</v>
      </c>
      <c r="D300" s="1" t="s">
        <v>1201</v>
      </c>
      <c r="E300" s="1" t="s">
        <v>333</v>
      </c>
      <c r="F300" s="8" t="s">
        <v>1202</v>
      </c>
      <c r="G300" s="1">
        <v>0.5</v>
      </c>
      <c r="H300" s="1" t="str">
        <f>IFERROR(_xlfn.SINGLE(_xlfn.XLOOKUP(D300, 'Task Plan'!$A:$A, 'Task Plan'!$K:$K)), "")</f>
        <v>Not Started</v>
      </c>
      <c r="I300" s="6">
        <f>IFERROR(_xlfn.SINGLE(_xlfn.XLOOKUP(D300, 'Task Plan'!$A:$A, 'Task Plan'!$L:$L)), 0)</f>
        <v>0</v>
      </c>
      <c r="J300" s="1">
        <f>SUMIF($A:$A,A300,$G:$G)</f>
        <v>2</v>
      </c>
      <c r="K300" s="1"/>
    </row>
    <row r="301" spans="1:11" ht="32.1" customHeight="1">
      <c r="A301" s="1">
        <v>97</v>
      </c>
      <c r="B301" s="7">
        <v>46400</v>
      </c>
      <c r="C301" s="1">
        <v>3</v>
      </c>
      <c r="D301" s="1" t="s">
        <v>1201</v>
      </c>
      <c r="E301" s="1" t="s">
        <v>333</v>
      </c>
      <c r="F301" s="8" t="s">
        <v>1202</v>
      </c>
      <c r="G301" s="1">
        <v>0.5</v>
      </c>
      <c r="H301" s="1" t="str">
        <f>IFERROR(_xlfn.SINGLE(_xlfn.XLOOKUP(D301, 'Task Plan'!$A:$A, 'Task Plan'!$K:$K)), "")</f>
        <v>Not Started</v>
      </c>
      <c r="I301" s="6">
        <f>IFERROR(_xlfn.SINGLE(_xlfn.XLOOKUP(D301, 'Task Plan'!$A:$A, 'Task Plan'!$L:$L)), 0)</f>
        <v>0</v>
      </c>
      <c r="J301" s="1">
        <f>SUMIF($A:$A,A301,$G:$G)</f>
        <v>3</v>
      </c>
      <c r="K301" s="1"/>
    </row>
    <row r="302" spans="1:11" ht="32.1" customHeight="1">
      <c r="A302" s="1">
        <v>97</v>
      </c>
      <c r="B302" s="7">
        <v>46400</v>
      </c>
      <c r="C302" s="1">
        <v>3</v>
      </c>
      <c r="D302" s="1" t="s">
        <v>1204</v>
      </c>
      <c r="E302" s="1" t="s">
        <v>333</v>
      </c>
      <c r="F302" s="8" t="s">
        <v>1205</v>
      </c>
      <c r="G302" s="1">
        <v>0.5</v>
      </c>
      <c r="H302" s="1" t="str">
        <f>IFERROR(_xlfn.SINGLE(_xlfn.XLOOKUP(D302, 'Task Plan'!$A:$A, 'Task Plan'!$K:$K)), "")</f>
        <v>Not Started</v>
      </c>
      <c r="I302" s="6">
        <f>IFERROR(_xlfn.SINGLE(_xlfn.XLOOKUP(D302, 'Task Plan'!$A:$A, 'Task Plan'!$L:$L)), 0)</f>
        <v>0</v>
      </c>
      <c r="J302" s="1">
        <f>SUMIF($A:$A,A302,$G:$G)</f>
        <v>3</v>
      </c>
      <c r="K302" s="1"/>
    </row>
    <row r="303" spans="1:11" ht="32.1" customHeight="1">
      <c r="A303" s="1">
        <v>97</v>
      </c>
      <c r="B303" s="7">
        <v>46400</v>
      </c>
      <c r="C303" s="1">
        <v>3</v>
      </c>
      <c r="D303" s="1" t="s">
        <v>1207</v>
      </c>
      <c r="E303" s="1" t="s">
        <v>333</v>
      </c>
      <c r="F303" s="8" t="s">
        <v>1208</v>
      </c>
      <c r="G303" s="1">
        <v>2</v>
      </c>
      <c r="H303" s="1" t="str">
        <f>IFERROR(_xlfn.SINGLE(_xlfn.XLOOKUP(D303, 'Task Plan'!$A:$A, 'Task Plan'!$K:$K)), "")</f>
        <v>Not Started</v>
      </c>
      <c r="I303" s="6">
        <f>IFERROR(_xlfn.SINGLE(_xlfn.XLOOKUP(D303, 'Task Plan'!$A:$A, 'Task Plan'!$L:$L)), 0)</f>
        <v>0</v>
      </c>
      <c r="J303" s="1">
        <f>SUMIF($A:$A,A303,$G:$G)</f>
        <v>3</v>
      </c>
      <c r="K303" s="1"/>
    </row>
    <row r="304" spans="1:11" ht="32.1" customHeight="1">
      <c r="A304" s="1">
        <v>98</v>
      </c>
      <c r="B304" s="7">
        <v>46401</v>
      </c>
      <c r="C304" s="1">
        <v>2</v>
      </c>
      <c r="D304" s="1" t="s">
        <v>1209</v>
      </c>
      <c r="E304" s="1" t="s">
        <v>333</v>
      </c>
      <c r="F304" s="8" t="s">
        <v>1210</v>
      </c>
      <c r="G304" s="1">
        <v>1</v>
      </c>
      <c r="H304" s="1" t="str">
        <f>IFERROR(_xlfn.SINGLE(_xlfn.XLOOKUP(D304, 'Task Plan'!$A:$A, 'Task Plan'!$K:$K)), "")</f>
        <v>Not Started</v>
      </c>
      <c r="I304" s="6">
        <f>IFERROR(_xlfn.SINGLE(_xlfn.XLOOKUP(D304, 'Task Plan'!$A:$A, 'Task Plan'!$L:$L)), 0)</f>
        <v>0</v>
      </c>
      <c r="J304" s="1">
        <f>SUMIF($A:$A,A304,$G:$G)</f>
        <v>2</v>
      </c>
      <c r="K304" s="1"/>
    </row>
    <row r="305" spans="1:11" ht="32.1" customHeight="1">
      <c r="A305" s="1">
        <v>98</v>
      </c>
      <c r="B305" s="7">
        <v>46401</v>
      </c>
      <c r="C305" s="1">
        <v>2</v>
      </c>
      <c r="D305" s="1" t="s">
        <v>1212</v>
      </c>
      <c r="E305" s="1" t="s">
        <v>333</v>
      </c>
      <c r="F305" s="8" t="s">
        <v>1213</v>
      </c>
      <c r="G305" s="1">
        <v>0.5</v>
      </c>
      <c r="H305" s="1" t="str">
        <f>IFERROR(_xlfn.SINGLE(_xlfn.XLOOKUP(D305, 'Task Plan'!$A:$A, 'Task Plan'!$K:$K)), "")</f>
        <v>Not Started</v>
      </c>
      <c r="I305" s="6">
        <f>IFERROR(_xlfn.SINGLE(_xlfn.XLOOKUP(D305, 'Task Plan'!$A:$A, 'Task Plan'!$L:$L)), 0)</f>
        <v>0</v>
      </c>
      <c r="J305" s="1">
        <f>SUMIF($A:$A,A305,$G:$G)</f>
        <v>2</v>
      </c>
      <c r="K305" s="1"/>
    </row>
    <row r="306" spans="1:11" ht="32.1" customHeight="1">
      <c r="A306" s="1">
        <v>98</v>
      </c>
      <c r="B306" s="7">
        <v>46401</v>
      </c>
      <c r="C306" s="1">
        <v>2</v>
      </c>
      <c r="D306" s="1" t="s">
        <v>1215</v>
      </c>
      <c r="E306" s="1" t="s">
        <v>333</v>
      </c>
      <c r="F306" s="8" t="s">
        <v>1216</v>
      </c>
      <c r="G306" s="1">
        <v>0.5</v>
      </c>
      <c r="H306" s="1" t="str">
        <f>IFERROR(_xlfn.SINGLE(_xlfn.XLOOKUP(D306, 'Task Plan'!$A:$A, 'Task Plan'!$K:$K)), "")</f>
        <v>Not Started</v>
      </c>
      <c r="I306" s="6">
        <f>IFERROR(_xlfn.SINGLE(_xlfn.XLOOKUP(D306, 'Task Plan'!$A:$A, 'Task Plan'!$L:$L)), 0)</f>
        <v>0</v>
      </c>
      <c r="J306" s="1">
        <f>SUMIF($A:$A,A306,$G:$G)</f>
        <v>2</v>
      </c>
      <c r="K306" s="1"/>
    </row>
    <row r="307" spans="1:11" ht="32.1" customHeight="1">
      <c r="A307" s="1">
        <v>99</v>
      </c>
      <c r="B307" s="7">
        <v>46402</v>
      </c>
      <c r="C307" s="1">
        <v>2.5</v>
      </c>
      <c r="D307" s="1" t="s">
        <v>1215</v>
      </c>
      <c r="E307" s="1" t="s">
        <v>333</v>
      </c>
      <c r="F307" s="8" t="s">
        <v>1216</v>
      </c>
      <c r="G307" s="1">
        <v>0.5</v>
      </c>
      <c r="H307" s="1" t="str">
        <f>IFERROR(_xlfn.SINGLE(_xlfn.XLOOKUP(D307, 'Task Plan'!$A:$A, 'Task Plan'!$K:$K)), "")</f>
        <v>Not Started</v>
      </c>
      <c r="I307" s="6">
        <f>IFERROR(_xlfn.SINGLE(_xlfn.XLOOKUP(D307, 'Task Plan'!$A:$A, 'Task Plan'!$L:$L)), 0)</f>
        <v>0</v>
      </c>
      <c r="J307" s="1">
        <f>SUMIF($A:$A,A307,$G:$G)</f>
        <v>2.5</v>
      </c>
      <c r="K307" s="1"/>
    </row>
    <row r="308" spans="1:11" ht="32.1" customHeight="1">
      <c r="A308" s="1">
        <v>99</v>
      </c>
      <c r="B308" s="7">
        <v>46402</v>
      </c>
      <c r="C308" s="1">
        <v>2.5</v>
      </c>
      <c r="D308" s="1" t="s">
        <v>1218</v>
      </c>
      <c r="E308" s="1" t="s">
        <v>333</v>
      </c>
      <c r="F308" s="8" t="s">
        <v>1219</v>
      </c>
      <c r="G308" s="1">
        <v>0.5</v>
      </c>
      <c r="H308" s="1" t="str">
        <f>IFERROR(_xlfn.SINGLE(_xlfn.XLOOKUP(D308, 'Task Plan'!$A:$A, 'Task Plan'!$K:$K)), "")</f>
        <v>Not Started</v>
      </c>
      <c r="I308" s="6">
        <f>IFERROR(_xlfn.SINGLE(_xlfn.XLOOKUP(D308, 'Task Plan'!$A:$A, 'Task Plan'!$L:$L)), 0)</f>
        <v>0</v>
      </c>
      <c r="J308" s="1">
        <f>SUMIF($A:$A,A308,$G:$G)</f>
        <v>2.5</v>
      </c>
      <c r="K308" s="1"/>
    </row>
    <row r="309" spans="1:11" ht="32.1" customHeight="1">
      <c r="A309" s="1">
        <v>99</v>
      </c>
      <c r="B309" s="7">
        <v>46402</v>
      </c>
      <c r="C309" s="1">
        <v>2.5</v>
      </c>
      <c r="D309" s="1" t="s">
        <v>1221</v>
      </c>
      <c r="E309" s="1" t="s">
        <v>333</v>
      </c>
      <c r="F309" s="8" t="s">
        <v>1222</v>
      </c>
      <c r="G309" s="1">
        <v>1.5</v>
      </c>
      <c r="H309" s="1" t="str">
        <f>IFERROR(_xlfn.SINGLE(_xlfn.XLOOKUP(D309, 'Task Plan'!$A:$A, 'Task Plan'!$K:$K)), "")</f>
        <v>Not Started</v>
      </c>
      <c r="I309" s="6">
        <f>IFERROR(_xlfn.SINGLE(_xlfn.XLOOKUP(D309, 'Task Plan'!$A:$A, 'Task Plan'!$L:$L)), 0)</f>
        <v>0</v>
      </c>
      <c r="J309" s="1">
        <f>SUMIF($A:$A,A309,$G:$G)</f>
        <v>2.5</v>
      </c>
      <c r="K309" s="1"/>
    </row>
    <row r="310" spans="1:11" ht="32.1" customHeight="1">
      <c r="A310" s="1">
        <v>100</v>
      </c>
      <c r="B310" s="7">
        <v>46405</v>
      </c>
      <c r="C310" s="1">
        <v>3</v>
      </c>
      <c r="D310" s="1" t="s">
        <v>1223</v>
      </c>
      <c r="E310" s="1" t="s">
        <v>333</v>
      </c>
      <c r="F310" s="8" t="s">
        <v>1224</v>
      </c>
      <c r="G310" s="1">
        <v>1</v>
      </c>
      <c r="H310" s="1" t="str">
        <f>IFERROR(_xlfn.SINGLE(_xlfn.XLOOKUP(D310, 'Task Plan'!$A:$A, 'Task Plan'!$K:$K)), "")</f>
        <v>Not Started</v>
      </c>
      <c r="I310" s="6">
        <f>IFERROR(_xlfn.SINGLE(_xlfn.XLOOKUP(D310, 'Task Plan'!$A:$A, 'Task Plan'!$L:$L)), 0)</f>
        <v>0</v>
      </c>
      <c r="J310" s="1">
        <f>SUMIF($A:$A,A310,$G:$G)</f>
        <v>3</v>
      </c>
      <c r="K310" s="1"/>
    </row>
    <row r="311" spans="1:11" ht="32.1" customHeight="1">
      <c r="A311" s="1">
        <v>100</v>
      </c>
      <c r="B311" s="7">
        <v>46405</v>
      </c>
      <c r="C311" s="1">
        <v>3</v>
      </c>
      <c r="D311" s="1" t="s">
        <v>1226</v>
      </c>
      <c r="E311" s="1" t="s">
        <v>333</v>
      </c>
      <c r="F311" s="8" t="s">
        <v>1227</v>
      </c>
      <c r="G311" s="1">
        <v>0.5</v>
      </c>
      <c r="H311" s="1" t="str">
        <f>IFERROR(_xlfn.SINGLE(_xlfn.XLOOKUP(D311, 'Task Plan'!$A:$A, 'Task Plan'!$K:$K)), "")</f>
        <v>Not Started</v>
      </c>
      <c r="I311" s="6">
        <f>IFERROR(_xlfn.SINGLE(_xlfn.XLOOKUP(D311, 'Task Plan'!$A:$A, 'Task Plan'!$L:$L)), 0)</f>
        <v>0</v>
      </c>
      <c r="J311" s="1">
        <f>SUMIF($A:$A,A311,$G:$G)</f>
        <v>3</v>
      </c>
      <c r="K311" s="1"/>
    </row>
    <row r="312" spans="1:11" ht="32.1" customHeight="1">
      <c r="A312" s="1">
        <v>100</v>
      </c>
      <c r="B312" s="7">
        <v>46405</v>
      </c>
      <c r="C312" s="1">
        <v>3</v>
      </c>
      <c r="D312" s="1" t="s">
        <v>1229</v>
      </c>
      <c r="E312" s="1" t="s">
        <v>333</v>
      </c>
      <c r="F312" s="8" t="s">
        <v>1230</v>
      </c>
      <c r="G312" s="1">
        <v>0.5</v>
      </c>
      <c r="H312" s="1" t="str">
        <f>IFERROR(_xlfn.SINGLE(_xlfn.XLOOKUP(D312, 'Task Plan'!$A:$A, 'Task Plan'!$K:$K)), "")</f>
        <v>Not Started</v>
      </c>
      <c r="I312" s="6">
        <f>IFERROR(_xlfn.SINGLE(_xlfn.XLOOKUP(D312, 'Task Plan'!$A:$A, 'Task Plan'!$L:$L)), 0)</f>
        <v>0</v>
      </c>
      <c r="J312" s="1">
        <f>SUMIF($A:$A,A312,$G:$G)</f>
        <v>3</v>
      </c>
      <c r="K312" s="1"/>
    </row>
    <row r="313" spans="1:11" ht="32.1" customHeight="1">
      <c r="A313" s="1">
        <v>100</v>
      </c>
      <c r="B313" s="7">
        <v>46405</v>
      </c>
      <c r="C313" s="1">
        <v>3</v>
      </c>
      <c r="D313" s="1" t="s">
        <v>1232</v>
      </c>
      <c r="E313" s="1" t="s">
        <v>333</v>
      </c>
      <c r="F313" s="8" t="s">
        <v>1233</v>
      </c>
      <c r="G313" s="1">
        <v>0.5</v>
      </c>
      <c r="H313" s="1" t="str">
        <f>IFERROR(_xlfn.SINGLE(_xlfn.XLOOKUP(D313, 'Task Plan'!$A:$A, 'Task Plan'!$K:$K)), "")</f>
        <v>Not Started</v>
      </c>
      <c r="I313" s="6">
        <f>IFERROR(_xlfn.SINGLE(_xlfn.XLOOKUP(D313, 'Task Plan'!$A:$A, 'Task Plan'!$L:$L)), 0)</f>
        <v>0</v>
      </c>
      <c r="J313" s="1">
        <f>SUMIF($A:$A,A313,$G:$G)</f>
        <v>3</v>
      </c>
      <c r="K313" s="1"/>
    </row>
    <row r="314" spans="1:11" ht="32.1" customHeight="1">
      <c r="A314" s="1">
        <v>100</v>
      </c>
      <c r="B314" s="7">
        <v>46405</v>
      </c>
      <c r="C314" s="1">
        <v>3</v>
      </c>
      <c r="D314" s="1" t="s">
        <v>1235</v>
      </c>
      <c r="E314" s="1" t="s">
        <v>333</v>
      </c>
      <c r="F314" s="8" t="s">
        <v>1236</v>
      </c>
      <c r="G314" s="1">
        <v>0.5</v>
      </c>
      <c r="H314" s="1" t="str">
        <f>IFERROR(_xlfn.SINGLE(_xlfn.XLOOKUP(D314, 'Task Plan'!$A:$A, 'Task Plan'!$K:$K)), "")</f>
        <v>Not Started</v>
      </c>
      <c r="I314" s="6">
        <f>IFERROR(_xlfn.SINGLE(_xlfn.XLOOKUP(D314, 'Task Plan'!$A:$A, 'Task Plan'!$L:$L)), 0)</f>
        <v>0</v>
      </c>
      <c r="J314" s="1">
        <f>SUMIF($A:$A,A314,$G:$G)</f>
        <v>3</v>
      </c>
      <c r="K314" s="1"/>
    </row>
    <row r="315" spans="1:11" ht="32.1" customHeight="1">
      <c r="A315" s="1">
        <v>101</v>
      </c>
      <c r="B315" s="7">
        <v>46406</v>
      </c>
      <c r="C315" s="1">
        <v>3</v>
      </c>
      <c r="D315" s="1" t="s">
        <v>1235</v>
      </c>
      <c r="E315" s="1" t="s">
        <v>333</v>
      </c>
      <c r="F315" s="8" t="s">
        <v>1236</v>
      </c>
      <c r="G315" s="1">
        <v>1.5</v>
      </c>
      <c r="H315" s="1" t="str">
        <f>IFERROR(_xlfn.SINGLE(_xlfn.XLOOKUP(D315, 'Task Plan'!$A:$A, 'Task Plan'!$K:$K)), "")</f>
        <v>Not Started</v>
      </c>
      <c r="I315" s="6">
        <f>IFERROR(_xlfn.SINGLE(_xlfn.XLOOKUP(D315, 'Task Plan'!$A:$A, 'Task Plan'!$L:$L)), 0)</f>
        <v>0</v>
      </c>
      <c r="J315" s="1">
        <f>SUMIF($A:$A,A315,$G:$G)</f>
        <v>3</v>
      </c>
      <c r="K315" s="1"/>
    </row>
    <row r="316" spans="1:11" ht="32.1" customHeight="1">
      <c r="A316" s="1">
        <v>101</v>
      </c>
      <c r="B316" s="7">
        <v>46406</v>
      </c>
      <c r="C316" s="1">
        <v>3</v>
      </c>
      <c r="D316" s="1" t="s">
        <v>1237</v>
      </c>
      <c r="E316" s="1" t="s">
        <v>333</v>
      </c>
      <c r="F316" s="8" t="s">
        <v>1238</v>
      </c>
      <c r="G316" s="1">
        <v>1</v>
      </c>
      <c r="H316" s="1" t="str">
        <f>IFERROR(_xlfn.SINGLE(_xlfn.XLOOKUP(D316, 'Task Plan'!$A:$A, 'Task Plan'!$K:$K)), "")</f>
        <v>Not Started</v>
      </c>
      <c r="I316" s="6">
        <f>IFERROR(_xlfn.SINGLE(_xlfn.XLOOKUP(D316, 'Task Plan'!$A:$A, 'Task Plan'!$L:$L)), 0)</f>
        <v>0</v>
      </c>
      <c r="J316" s="1">
        <f>SUMIF($A:$A,A316,$G:$G)</f>
        <v>3</v>
      </c>
      <c r="K316" s="1"/>
    </row>
    <row r="317" spans="1:11" ht="32.1" customHeight="1">
      <c r="A317" s="1">
        <v>101</v>
      </c>
      <c r="B317" s="7">
        <v>46406</v>
      </c>
      <c r="C317" s="1">
        <v>3</v>
      </c>
      <c r="D317" s="1" t="s">
        <v>1240</v>
      </c>
      <c r="E317" s="1" t="s">
        <v>333</v>
      </c>
      <c r="F317" s="8" t="s">
        <v>1241</v>
      </c>
      <c r="G317" s="1">
        <v>0.5</v>
      </c>
      <c r="H317" s="1" t="str">
        <f>IFERROR(_xlfn.SINGLE(_xlfn.XLOOKUP(D317, 'Task Plan'!$A:$A, 'Task Plan'!$K:$K)), "")</f>
        <v>Not Started</v>
      </c>
      <c r="I317" s="6">
        <f>IFERROR(_xlfn.SINGLE(_xlfn.XLOOKUP(D317, 'Task Plan'!$A:$A, 'Task Plan'!$L:$L)), 0)</f>
        <v>0</v>
      </c>
      <c r="J317" s="1">
        <f>SUMIF($A:$A,A317,$G:$G)</f>
        <v>3</v>
      </c>
      <c r="K317" s="1"/>
    </row>
    <row r="318" spans="1:11" ht="32.1" customHeight="1">
      <c r="A318" s="1">
        <v>102</v>
      </c>
      <c r="B318" s="7">
        <v>46407</v>
      </c>
      <c r="C318" s="1">
        <v>2</v>
      </c>
      <c r="D318" s="1" t="s">
        <v>1243</v>
      </c>
      <c r="E318" s="1" t="s">
        <v>333</v>
      </c>
      <c r="F318" s="8" t="s">
        <v>1244</v>
      </c>
      <c r="G318" s="1">
        <v>1</v>
      </c>
      <c r="H318" s="1" t="str">
        <f>IFERROR(_xlfn.SINGLE(_xlfn.XLOOKUP(D318, 'Task Plan'!$A:$A, 'Task Plan'!$K:$K)), "")</f>
        <v>Not Started</v>
      </c>
      <c r="I318" s="6">
        <f>IFERROR(_xlfn.SINGLE(_xlfn.XLOOKUP(D318, 'Task Plan'!$A:$A, 'Task Plan'!$L:$L)), 0)</f>
        <v>0</v>
      </c>
      <c r="J318" s="1">
        <f>SUMIF($A:$A,A318,$G:$G)</f>
        <v>2</v>
      </c>
      <c r="K318" s="1"/>
    </row>
    <row r="319" spans="1:11" ht="32.1" customHeight="1">
      <c r="A319" s="1">
        <v>102</v>
      </c>
      <c r="B319" s="7">
        <v>46407</v>
      </c>
      <c r="C319" s="1">
        <v>2</v>
      </c>
      <c r="D319" s="1" t="s">
        <v>1246</v>
      </c>
      <c r="E319" s="1" t="s">
        <v>333</v>
      </c>
      <c r="F319" s="8" t="s">
        <v>1247</v>
      </c>
      <c r="G319" s="1">
        <v>1</v>
      </c>
      <c r="H319" s="1" t="str">
        <f>IFERROR(_xlfn.SINGLE(_xlfn.XLOOKUP(D319, 'Task Plan'!$A:$A, 'Task Plan'!$K:$K)), "")</f>
        <v>Not Started</v>
      </c>
      <c r="I319" s="6">
        <f>IFERROR(_xlfn.SINGLE(_xlfn.XLOOKUP(D319, 'Task Plan'!$A:$A, 'Task Plan'!$L:$L)), 0)</f>
        <v>0</v>
      </c>
      <c r="J319" s="1">
        <f>SUMIF($A:$A,A319,$G:$G)</f>
        <v>2</v>
      </c>
      <c r="K319" s="1"/>
    </row>
    <row r="320" spans="1:11" ht="32.1" customHeight="1">
      <c r="A320" s="1">
        <v>103</v>
      </c>
      <c r="B320" s="7">
        <v>46408</v>
      </c>
      <c r="C320" s="1">
        <v>2.5</v>
      </c>
      <c r="D320" s="1" t="s">
        <v>1249</v>
      </c>
      <c r="E320" s="1" t="s">
        <v>333</v>
      </c>
      <c r="F320" s="8" t="s">
        <v>1250</v>
      </c>
      <c r="G320" s="1">
        <v>1.5</v>
      </c>
      <c r="H320" s="1" t="str">
        <f>IFERROR(_xlfn.SINGLE(_xlfn.XLOOKUP(D320, 'Task Plan'!$A:$A, 'Task Plan'!$K:$K)), "")</f>
        <v>Not Started</v>
      </c>
      <c r="I320" s="6">
        <f>IFERROR(_xlfn.SINGLE(_xlfn.XLOOKUP(D320, 'Task Plan'!$A:$A, 'Task Plan'!$L:$L)), 0)</f>
        <v>0</v>
      </c>
      <c r="J320" s="1">
        <f>SUMIF($A:$A,A320,$G:$G)</f>
        <v>2.5</v>
      </c>
      <c r="K320" s="1"/>
    </row>
    <row r="321" spans="1:11" ht="32.1" customHeight="1">
      <c r="A321" s="1">
        <v>103</v>
      </c>
      <c r="B321" s="7">
        <v>46408</v>
      </c>
      <c r="C321" s="1">
        <v>2.5</v>
      </c>
      <c r="D321" s="1" t="s">
        <v>1251</v>
      </c>
      <c r="E321" s="1" t="s">
        <v>333</v>
      </c>
      <c r="F321" s="8" t="s">
        <v>1252</v>
      </c>
      <c r="G321" s="1">
        <v>1</v>
      </c>
      <c r="H321" s="1" t="str">
        <f>IFERROR(_xlfn.SINGLE(_xlfn.XLOOKUP(D321, 'Task Plan'!$A:$A, 'Task Plan'!$K:$K)), "")</f>
        <v>Not Started</v>
      </c>
      <c r="I321" s="6">
        <f>IFERROR(_xlfn.SINGLE(_xlfn.XLOOKUP(D321, 'Task Plan'!$A:$A, 'Task Plan'!$L:$L)), 0)</f>
        <v>0</v>
      </c>
      <c r="J321" s="1">
        <f>SUMIF($A:$A,A321,$G:$G)</f>
        <v>2.5</v>
      </c>
      <c r="K321" s="1"/>
    </row>
    <row r="322" spans="1:11" ht="32.1" customHeight="1">
      <c r="A322" s="1">
        <v>104</v>
      </c>
      <c r="B322" s="7">
        <v>46409</v>
      </c>
      <c r="C322" s="1">
        <v>2</v>
      </c>
      <c r="D322" s="1" t="s">
        <v>1254</v>
      </c>
      <c r="E322" s="1" t="s">
        <v>333</v>
      </c>
      <c r="F322" s="8" t="s">
        <v>1255</v>
      </c>
      <c r="G322" s="1">
        <v>0.5</v>
      </c>
      <c r="H322" s="1" t="str">
        <f>IFERROR(_xlfn.SINGLE(_xlfn.XLOOKUP(D322, 'Task Plan'!$A:$A, 'Task Plan'!$K:$K)), "")</f>
        <v>Not Started</v>
      </c>
      <c r="I322" s="6">
        <f>IFERROR(_xlfn.SINGLE(_xlfn.XLOOKUP(D322, 'Task Plan'!$A:$A, 'Task Plan'!$L:$L)), 0)</f>
        <v>0</v>
      </c>
      <c r="J322" s="1">
        <f>SUMIF($A:$A,A322,$G:$G)</f>
        <v>2</v>
      </c>
      <c r="K322" s="1"/>
    </row>
    <row r="323" spans="1:11" ht="32.1" customHeight="1">
      <c r="A323" s="1">
        <v>104</v>
      </c>
      <c r="B323" s="7">
        <v>46409</v>
      </c>
      <c r="C323" s="1">
        <v>2</v>
      </c>
      <c r="D323" s="1" t="s">
        <v>1257</v>
      </c>
      <c r="E323" s="1" t="s">
        <v>333</v>
      </c>
      <c r="F323" s="8" t="s">
        <v>1258</v>
      </c>
      <c r="G323" s="1">
        <v>1</v>
      </c>
      <c r="H323" s="1" t="str">
        <f>IFERROR(_xlfn.SINGLE(_xlfn.XLOOKUP(D323, 'Task Plan'!$A:$A, 'Task Plan'!$K:$K)), "")</f>
        <v>Not Started</v>
      </c>
      <c r="I323" s="6">
        <f>IFERROR(_xlfn.SINGLE(_xlfn.XLOOKUP(D323, 'Task Plan'!$A:$A, 'Task Plan'!$L:$L)), 0)</f>
        <v>0</v>
      </c>
      <c r="J323" s="1">
        <f>SUMIF($A:$A,A323,$G:$G)</f>
        <v>2</v>
      </c>
      <c r="K323" s="1"/>
    </row>
    <row r="324" spans="1:11" ht="32.1" customHeight="1">
      <c r="A324" s="1">
        <v>104</v>
      </c>
      <c r="B324" s="7">
        <v>46409</v>
      </c>
      <c r="C324" s="1">
        <v>2</v>
      </c>
      <c r="D324" s="1" t="s">
        <v>1260</v>
      </c>
      <c r="E324" s="1" t="s">
        <v>333</v>
      </c>
      <c r="F324" s="8" t="s">
        <v>1261</v>
      </c>
      <c r="G324" s="1">
        <v>0.5</v>
      </c>
      <c r="H324" s="1" t="str">
        <f>IFERROR(_xlfn.SINGLE(_xlfn.XLOOKUP(D324, 'Task Plan'!$A:$A, 'Task Plan'!$K:$K)), "")</f>
        <v>Not Started</v>
      </c>
      <c r="I324" s="6">
        <f>IFERROR(_xlfn.SINGLE(_xlfn.XLOOKUP(D324, 'Task Plan'!$A:$A, 'Task Plan'!$L:$L)), 0)</f>
        <v>0</v>
      </c>
      <c r="J324" s="1">
        <f>SUMIF($A:$A,A324,$G:$G)</f>
        <v>2</v>
      </c>
      <c r="K324" s="1"/>
    </row>
    <row r="325" spans="1:11" ht="32.1" customHeight="1">
      <c r="A325" s="1">
        <v>105</v>
      </c>
      <c r="B325" s="7">
        <v>46412</v>
      </c>
      <c r="C325" s="1">
        <v>2</v>
      </c>
      <c r="D325" s="1" t="s">
        <v>1260</v>
      </c>
      <c r="E325" s="1" t="s">
        <v>333</v>
      </c>
      <c r="F325" s="8" t="s">
        <v>1261</v>
      </c>
      <c r="G325" s="1">
        <v>0.5</v>
      </c>
      <c r="H325" s="1" t="str">
        <f>IFERROR(_xlfn.SINGLE(_xlfn.XLOOKUP(D325, 'Task Plan'!$A:$A, 'Task Plan'!$K:$K)), "")</f>
        <v>Not Started</v>
      </c>
      <c r="I325" s="6">
        <f>IFERROR(_xlfn.SINGLE(_xlfn.XLOOKUP(D325, 'Task Plan'!$A:$A, 'Task Plan'!$L:$L)), 0)</f>
        <v>0</v>
      </c>
      <c r="J325" s="1">
        <f>SUMIF($A:$A,A325,$G:$G)</f>
        <v>2</v>
      </c>
      <c r="K325" s="1"/>
    </row>
    <row r="326" spans="1:11" ht="32.1" customHeight="1">
      <c r="A326" s="1">
        <v>105</v>
      </c>
      <c r="B326" s="7">
        <v>46412</v>
      </c>
      <c r="C326" s="1">
        <v>2</v>
      </c>
      <c r="D326" s="1" t="s">
        <v>1263</v>
      </c>
      <c r="E326" s="1" t="s">
        <v>333</v>
      </c>
      <c r="F326" s="8" t="s">
        <v>1264</v>
      </c>
      <c r="G326" s="1">
        <v>1.5</v>
      </c>
      <c r="H326" s="1" t="str">
        <f>IFERROR(_xlfn.SINGLE(_xlfn.XLOOKUP(D326, 'Task Plan'!$A:$A, 'Task Plan'!$K:$K)), "")</f>
        <v>Not Started</v>
      </c>
      <c r="I326" s="6">
        <f>IFERROR(_xlfn.SINGLE(_xlfn.XLOOKUP(D326, 'Task Plan'!$A:$A, 'Task Plan'!$L:$L)), 0)</f>
        <v>0</v>
      </c>
      <c r="J326" s="1">
        <f>SUMIF($A:$A,A326,$G:$G)</f>
        <v>2</v>
      </c>
      <c r="K326" s="1"/>
    </row>
    <row r="327" spans="1:11" ht="32.1" customHeight="1">
      <c r="A327" s="1">
        <v>106</v>
      </c>
      <c r="B327" s="7">
        <v>46413</v>
      </c>
      <c r="C327" s="1">
        <v>2.5</v>
      </c>
      <c r="D327" s="1" t="s">
        <v>1263</v>
      </c>
      <c r="E327" s="1" t="s">
        <v>333</v>
      </c>
      <c r="F327" s="8" t="s">
        <v>1264</v>
      </c>
      <c r="G327" s="1">
        <v>0.5</v>
      </c>
      <c r="H327" s="1" t="str">
        <f>IFERROR(_xlfn.SINGLE(_xlfn.XLOOKUP(D327, 'Task Plan'!$A:$A, 'Task Plan'!$K:$K)), "")</f>
        <v>Not Started</v>
      </c>
      <c r="I327" s="6">
        <f>IFERROR(_xlfn.SINGLE(_xlfn.XLOOKUP(D327, 'Task Plan'!$A:$A, 'Task Plan'!$L:$L)), 0)</f>
        <v>0</v>
      </c>
      <c r="J327" s="1">
        <f>SUMIF($A:$A,A327,$G:$G)</f>
        <v>2.5</v>
      </c>
      <c r="K327" s="1"/>
    </row>
    <row r="328" spans="1:11" ht="32.1" customHeight="1">
      <c r="A328" s="1">
        <v>106</v>
      </c>
      <c r="B328" s="7">
        <v>46413</v>
      </c>
      <c r="C328" s="1">
        <v>2.5</v>
      </c>
      <c r="D328" s="1" t="s">
        <v>1265</v>
      </c>
      <c r="E328" s="1" t="s">
        <v>333</v>
      </c>
      <c r="F328" s="8" t="s">
        <v>1266</v>
      </c>
      <c r="G328" s="1">
        <v>1</v>
      </c>
      <c r="H328" s="1" t="str">
        <f>IFERROR(_xlfn.SINGLE(_xlfn.XLOOKUP(D328, 'Task Plan'!$A:$A, 'Task Plan'!$K:$K)), "")</f>
        <v>Not Started</v>
      </c>
      <c r="I328" s="6">
        <f>IFERROR(_xlfn.SINGLE(_xlfn.XLOOKUP(D328, 'Task Plan'!$A:$A, 'Task Plan'!$L:$L)), 0)</f>
        <v>0</v>
      </c>
      <c r="J328" s="1">
        <f>SUMIF($A:$A,A328,$G:$G)</f>
        <v>2.5</v>
      </c>
      <c r="K328" s="1"/>
    </row>
    <row r="329" spans="1:11" ht="32.1" customHeight="1">
      <c r="A329" s="1">
        <v>106</v>
      </c>
      <c r="B329" s="7">
        <v>46413</v>
      </c>
      <c r="C329" s="1">
        <v>2.5</v>
      </c>
      <c r="D329" s="1" t="s">
        <v>1268</v>
      </c>
      <c r="E329" s="1" t="s">
        <v>333</v>
      </c>
      <c r="F329" s="8" t="s">
        <v>1269</v>
      </c>
      <c r="G329" s="1">
        <v>0.5</v>
      </c>
      <c r="H329" s="1" t="str">
        <f>IFERROR(_xlfn.SINGLE(_xlfn.XLOOKUP(D329, 'Task Plan'!$A:$A, 'Task Plan'!$K:$K)), "")</f>
        <v>Not Started</v>
      </c>
      <c r="I329" s="6">
        <f>IFERROR(_xlfn.SINGLE(_xlfn.XLOOKUP(D329, 'Task Plan'!$A:$A, 'Task Plan'!$L:$L)), 0)</f>
        <v>0</v>
      </c>
      <c r="J329" s="1">
        <f>SUMIF($A:$A,A329,$G:$G)</f>
        <v>2.5</v>
      </c>
      <c r="K329" s="1"/>
    </row>
    <row r="330" spans="1:11" ht="32.1" customHeight="1">
      <c r="A330" s="1">
        <v>106</v>
      </c>
      <c r="B330" s="7">
        <v>46413</v>
      </c>
      <c r="C330" s="1">
        <v>2.5</v>
      </c>
      <c r="D330" s="1" t="s">
        <v>1271</v>
      </c>
      <c r="E330" s="1" t="s">
        <v>333</v>
      </c>
      <c r="F330" s="8" t="s">
        <v>1272</v>
      </c>
      <c r="G330" s="1">
        <v>0.5</v>
      </c>
      <c r="H330" s="1" t="str">
        <f>IFERROR(_xlfn.SINGLE(_xlfn.XLOOKUP(D330, 'Task Plan'!$A:$A, 'Task Plan'!$K:$K)), "")</f>
        <v>Not Started</v>
      </c>
      <c r="I330" s="6">
        <f>IFERROR(_xlfn.SINGLE(_xlfn.XLOOKUP(D330, 'Task Plan'!$A:$A, 'Task Plan'!$L:$L)), 0)</f>
        <v>0</v>
      </c>
      <c r="J330" s="1">
        <f>SUMIF($A:$A,A330,$G:$G)</f>
        <v>2.5</v>
      </c>
      <c r="K330" s="1"/>
    </row>
    <row r="331" spans="1:11" ht="32.1" customHeight="1">
      <c r="A331" s="1">
        <v>107</v>
      </c>
      <c r="B331" s="7">
        <v>46414</v>
      </c>
      <c r="C331" s="1">
        <v>2.5</v>
      </c>
      <c r="D331" s="1" t="s">
        <v>1271</v>
      </c>
      <c r="E331" s="1" t="s">
        <v>333</v>
      </c>
      <c r="F331" s="8" t="s">
        <v>1272</v>
      </c>
      <c r="G331" s="1">
        <v>0.5</v>
      </c>
      <c r="H331" s="1" t="str">
        <f>IFERROR(_xlfn.SINGLE(_xlfn.XLOOKUP(D331, 'Task Plan'!$A:$A, 'Task Plan'!$K:$K)), "")</f>
        <v>Not Started</v>
      </c>
      <c r="I331" s="6">
        <f>IFERROR(_xlfn.SINGLE(_xlfn.XLOOKUP(D331, 'Task Plan'!$A:$A, 'Task Plan'!$L:$L)), 0)</f>
        <v>0</v>
      </c>
      <c r="J331" s="1">
        <f>SUMIF($A:$A,A331,$G:$G)</f>
        <v>2.5</v>
      </c>
      <c r="K331" s="1"/>
    </row>
    <row r="332" spans="1:11" ht="32.1" customHeight="1">
      <c r="A332" s="1">
        <v>107</v>
      </c>
      <c r="B332" s="7">
        <v>46414</v>
      </c>
      <c r="C332" s="1">
        <v>2.5</v>
      </c>
      <c r="D332" s="1" t="s">
        <v>1274</v>
      </c>
      <c r="E332" s="1" t="s">
        <v>333</v>
      </c>
      <c r="F332" s="8" t="s">
        <v>1275</v>
      </c>
      <c r="G332" s="1">
        <v>1</v>
      </c>
      <c r="H332" s="1" t="str">
        <f>IFERROR(_xlfn.SINGLE(_xlfn.XLOOKUP(D332, 'Task Plan'!$A:$A, 'Task Plan'!$K:$K)), "")</f>
        <v>Not Started</v>
      </c>
      <c r="I332" s="6">
        <f>IFERROR(_xlfn.SINGLE(_xlfn.XLOOKUP(D332, 'Task Plan'!$A:$A, 'Task Plan'!$L:$L)), 0)</f>
        <v>0</v>
      </c>
      <c r="J332" s="1">
        <f>SUMIF($A:$A,A332,$G:$G)</f>
        <v>2.5</v>
      </c>
      <c r="K332" s="1"/>
    </row>
    <row r="333" spans="1:11" ht="32.1" customHeight="1">
      <c r="A333" s="1">
        <v>107</v>
      </c>
      <c r="B333" s="7">
        <v>46414</v>
      </c>
      <c r="C333" s="1">
        <v>2.5</v>
      </c>
      <c r="D333" s="1" t="s">
        <v>1277</v>
      </c>
      <c r="E333" s="1" t="s">
        <v>333</v>
      </c>
      <c r="F333" s="8" t="s">
        <v>1278</v>
      </c>
      <c r="G333" s="1">
        <v>1</v>
      </c>
      <c r="H333" s="1" t="str">
        <f>IFERROR(_xlfn.SINGLE(_xlfn.XLOOKUP(D333, 'Task Plan'!$A:$A, 'Task Plan'!$K:$K)), "")</f>
        <v>Not Started</v>
      </c>
      <c r="I333" s="6">
        <f>IFERROR(_xlfn.SINGLE(_xlfn.XLOOKUP(D333, 'Task Plan'!$A:$A, 'Task Plan'!$L:$L)), 0)</f>
        <v>0</v>
      </c>
      <c r="J333" s="1">
        <f>SUMIF($A:$A,A333,$G:$G)</f>
        <v>2.5</v>
      </c>
      <c r="K333" s="1"/>
    </row>
    <row r="334" spans="1:11" ht="32.1" customHeight="1">
      <c r="A334" s="1">
        <v>108</v>
      </c>
      <c r="B334" s="7">
        <v>46415</v>
      </c>
      <c r="C334" s="1">
        <v>2</v>
      </c>
      <c r="D334" s="1" t="s">
        <v>1277</v>
      </c>
      <c r="E334" s="1" t="s">
        <v>333</v>
      </c>
      <c r="F334" s="8" t="s">
        <v>1278</v>
      </c>
      <c r="G334" s="1">
        <v>0.5</v>
      </c>
      <c r="H334" s="1" t="str">
        <f>IFERROR(_xlfn.SINGLE(_xlfn.XLOOKUP(D334, 'Task Plan'!$A:$A, 'Task Plan'!$K:$K)), "")</f>
        <v>Not Started</v>
      </c>
      <c r="I334" s="6">
        <f>IFERROR(_xlfn.SINGLE(_xlfn.XLOOKUP(D334, 'Task Plan'!$A:$A, 'Task Plan'!$L:$L)), 0)</f>
        <v>0</v>
      </c>
      <c r="J334" s="1">
        <f>SUMIF($A:$A,A334,$G:$G)</f>
        <v>2</v>
      </c>
      <c r="K334" s="1"/>
    </row>
    <row r="335" spans="1:11" ht="32.1" customHeight="1">
      <c r="A335" s="1">
        <v>108</v>
      </c>
      <c r="B335" s="7">
        <v>46415</v>
      </c>
      <c r="C335" s="1">
        <v>2</v>
      </c>
      <c r="D335" s="1" t="s">
        <v>1279</v>
      </c>
      <c r="E335" s="1" t="s">
        <v>333</v>
      </c>
      <c r="F335" s="8" t="s">
        <v>1280</v>
      </c>
      <c r="G335" s="1">
        <v>1</v>
      </c>
      <c r="H335" s="1" t="str">
        <f>IFERROR(_xlfn.SINGLE(_xlfn.XLOOKUP(D335, 'Task Plan'!$A:$A, 'Task Plan'!$K:$K)), "")</f>
        <v>Not Started</v>
      </c>
      <c r="I335" s="6">
        <f>IFERROR(_xlfn.SINGLE(_xlfn.XLOOKUP(D335, 'Task Plan'!$A:$A, 'Task Plan'!$L:$L)), 0)</f>
        <v>0</v>
      </c>
      <c r="J335" s="1">
        <f>SUMIF($A:$A,A335,$G:$G)</f>
        <v>2</v>
      </c>
      <c r="K335" s="1"/>
    </row>
    <row r="336" spans="1:11" ht="32.1" customHeight="1">
      <c r="A336" s="1">
        <v>108</v>
      </c>
      <c r="B336" s="7">
        <v>46415</v>
      </c>
      <c r="C336" s="1">
        <v>2</v>
      </c>
      <c r="D336" s="1" t="s">
        <v>1282</v>
      </c>
      <c r="E336" s="1" t="s">
        <v>333</v>
      </c>
      <c r="F336" s="8" t="s">
        <v>1283</v>
      </c>
      <c r="G336" s="1">
        <v>0.5</v>
      </c>
      <c r="H336" s="1" t="str">
        <f>IFERROR(_xlfn.SINGLE(_xlfn.XLOOKUP(D336, 'Task Plan'!$A:$A, 'Task Plan'!$K:$K)), "")</f>
        <v>Not Started</v>
      </c>
      <c r="I336" s="6">
        <f>IFERROR(_xlfn.SINGLE(_xlfn.XLOOKUP(D336, 'Task Plan'!$A:$A, 'Task Plan'!$L:$L)), 0)</f>
        <v>0</v>
      </c>
      <c r="J336" s="1">
        <f>SUMIF($A:$A,A336,$G:$G)</f>
        <v>2</v>
      </c>
      <c r="K336" s="1"/>
    </row>
    <row r="337" spans="1:11" ht="32.1" customHeight="1">
      <c r="A337" s="1">
        <v>109</v>
      </c>
      <c r="B337" s="7">
        <v>46416</v>
      </c>
      <c r="C337" s="1">
        <v>2.5</v>
      </c>
      <c r="D337" s="1" t="s">
        <v>1285</v>
      </c>
      <c r="E337" s="1" t="s">
        <v>333</v>
      </c>
      <c r="F337" s="8" t="s">
        <v>1286</v>
      </c>
      <c r="G337" s="1">
        <v>0.5</v>
      </c>
      <c r="H337" s="1" t="str">
        <f>IFERROR(_xlfn.SINGLE(_xlfn.XLOOKUP(D337, 'Task Plan'!$A:$A, 'Task Plan'!$K:$K)), "")</f>
        <v>Not Started</v>
      </c>
      <c r="I337" s="6">
        <f>IFERROR(_xlfn.SINGLE(_xlfn.XLOOKUP(D337, 'Task Plan'!$A:$A, 'Task Plan'!$L:$L)), 0)</f>
        <v>0</v>
      </c>
      <c r="J337" s="1">
        <f>SUMIF($A:$A,A337,$G:$G)</f>
        <v>2.5</v>
      </c>
      <c r="K337" s="1"/>
    </row>
    <row r="338" spans="1:11" ht="32.1" customHeight="1">
      <c r="A338" s="1">
        <v>109</v>
      </c>
      <c r="B338" s="7">
        <v>46416</v>
      </c>
      <c r="C338" s="1">
        <v>2.5</v>
      </c>
      <c r="D338" s="1" t="s">
        <v>1288</v>
      </c>
      <c r="E338" s="1" t="s">
        <v>333</v>
      </c>
      <c r="F338" s="8" t="s">
        <v>1289</v>
      </c>
      <c r="G338" s="1">
        <v>0.5</v>
      </c>
      <c r="H338" s="1" t="str">
        <f>IFERROR(_xlfn.SINGLE(_xlfn.XLOOKUP(D338, 'Task Plan'!$A:$A, 'Task Plan'!$K:$K)), "")</f>
        <v>Not Started</v>
      </c>
      <c r="I338" s="6">
        <f>IFERROR(_xlfn.SINGLE(_xlfn.XLOOKUP(D338, 'Task Plan'!$A:$A, 'Task Plan'!$L:$L)), 0)</f>
        <v>0</v>
      </c>
      <c r="J338" s="1">
        <f>SUMIF($A:$A,A338,$G:$G)</f>
        <v>2.5</v>
      </c>
      <c r="K338" s="1"/>
    </row>
    <row r="339" spans="1:11" ht="32.1" customHeight="1">
      <c r="A339" s="1">
        <v>109</v>
      </c>
      <c r="B339" s="7">
        <v>46416</v>
      </c>
      <c r="C339" s="1">
        <v>2.5</v>
      </c>
      <c r="D339" s="1" t="s">
        <v>1291</v>
      </c>
      <c r="E339" s="1" t="s">
        <v>333</v>
      </c>
      <c r="F339" s="8" t="s">
        <v>1292</v>
      </c>
      <c r="G339" s="1">
        <v>1.5</v>
      </c>
      <c r="H339" s="1" t="str">
        <f>IFERROR(_xlfn.SINGLE(_xlfn.XLOOKUP(D339, 'Task Plan'!$A:$A, 'Task Plan'!$K:$K)), "")</f>
        <v>Not Started</v>
      </c>
      <c r="I339" s="6">
        <f>IFERROR(_xlfn.SINGLE(_xlfn.XLOOKUP(D339, 'Task Plan'!$A:$A, 'Task Plan'!$L:$L)), 0)</f>
        <v>0</v>
      </c>
      <c r="J339" s="1">
        <f>SUMIF($A:$A,A339,$G:$G)</f>
        <v>2.5</v>
      </c>
      <c r="K339" s="1"/>
    </row>
    <row r="340" spans="1:11" ht="32.1" customHeight="1">
      <c r="A340" s="1">
        <v>110</v>
      </c>
      <c r="B340" s="7">
        <v>46419</v>
      </c>
      <c r="C340" s="1">
        <v>2</v>
      </c>
      <c r="D340" s="1" t="s">
        <v>1291</v>
      </c>
      <c r="E340" s="1" t="s">
        <v>333</v>
      </c>
      <c r="F340" s="8" t="s">
        <v>1292</v>
      </c>
      <c r="G340" s="1">
        <v>0.5</v>
      </c>
      <c r="H340" s="1" t="str">
        <f>IFERROR(_xlfn.SINGLE(_xlfn.XLOOKUP(D340, 'Task Plan'!$A:$A, 'Task Plan'!$K:$K)), "")</f>
        <v>Not Started</v>
      </c>
      <c r="I340" s="6">
        <f>IFERROR(_xlfn.SINGLE(_xlfn.XLOOKUP(D340, 'Task Plan'!$A:$A, 'Task Plan'!$L:$L)), 0)</f>
        <v>0</v>
      </c>
      <c r="J340" s="1">
        <f>SUMIF($A:$A,A340,$G:$G)</f>
        <v>2</v>
      </c>
      <c r="K340" s="1"/>
    </row>
    <row r="341" spans="1:11" ht="32.1" customHeight="1">
      <c r="A341" s="1">
        <v>110</v>
      </c>
      <c r="B341" s="7">
        <v>46419</v>
      </c>
      <c r="C341" s="1">
        <v>2</v>
      </c>
      <c r="D341" s="1" t="s">
        <v>1293</v>
      </c>
      <c r="E341" s="1" t="s">
        <v>333</v>
      </c>
      <c r="F341" s="8" t="s">
        <v>1294</v>
      </c>
      <c r="G341" s="1">
        <v>1</v>
      </c>
      <c r="H341" s="1" t="str">
        <f>IFERROR(_xlfn.SINGLE(_xlfn.XLOOKUP(D341, 'Task Plan'!$A:$A, 'Task Plan'!$K:$K)), "")</f>
        <v>Not Started</v>
      </c>
      <c r="I341" s="6">
        <f>IFERROR(_xlfn.SINGLE(_xlfn.XLOOKUP(D341, 'Task Plan'!$A:$A, 'Task Plan'!$L:$L)), 0)</f>
        <v>0</v>
      </c>
      <c r="J341" s="1">
        <f>SUMIF($A:$A,A341,$G:$G)</f>
        <v>2</v>
      </c>
      <c r="K341" s="1"/>
    </row>
    <row r="342" spans="1:11" ht="32.1" customHeight="1">
      <c r="A342" s="1">
        <v>110</v>
      </c>
      <c r="B342" s="7">
        <v>46419</v>
      </c>
      <c r="C342" s="1">
        <v>2</v>
      </c>
      <c r="D342" s="1" t="s">
        <v>1296</v>
      </c>
      <c r="E342" s="1" t="s">
        <v>333</v>
      </c>
      <c r="F342" s="8" t="s">
        <v>1297</v>
      </c>
      <c r="G342" s="1">
        <v>0.5</v>
      </c>
      <c r="H342" s="1" t="str">
        <f>IFERROR(_xlfn.SINGLE(_xlfn.XLOOKUP(D342, 'Task Plan'!$A:$A, 'Task Plan'!$K:$K)), "")</f>
        <v>Not Started</v>
      </c>
      <c r="I342" s="6">
        <f>IFERROR(_xlfn.SINGLE(_xlfn.XLOOKUP(D342, 'Task Plan'!$A:$A, 'Task Plan'!$L:$L)), 0)</f>
        <v>0</v>
      </c>
      <c r="J342" s="1">
        <f>SUMIF($A:$A,A342,$G:$G)</f>
        <v>2</v>
      </c>
      <c r="K342" s="1"/>
    </row>
    <row r="343" spans="1:11" ht="32.1" customHeight="1">
      <c r="A343" s="1">
        <v>111</v>
      </c>
      <c r="B343" s="7">
        <v>46420</v>
      </c>
      <c r="C343" s="1">
        <v>3</v>
      </c>
      <c r="D343" s="1" t="s">
        <v>1299</v>
      </c>
      <c r="E343" s="1" t="s">
        <v>333</v>
      </c>
      <c r="F343" s="8" t="s">
        <v>1300</v>
      </c>
      <c r="G343" s="1">
        <v>1</v>
      </c>
      <c r="H343" s="1" t="str">
        <f>IFERROR(_xlfn.SINGLE(_xlfn.XLOOKUP(D343, 'Task Plan'!$A:$A, 'Task Plan'!$K:$K)), "")</f>
        <v>Not Started</v>
      </c>
      <c r="I343" s="6">
        <f>IFERROR(_xlfn.SINGLE(_xlfn.XLOOKUP(D343, 'Task Plan'!$A:$A, 'Task Plan'!$L:$L)), 0)</f>
        <v>0</v>
      </c>
      <c r="J343" s="1">
        <f>SUMIF($A:$A,A343,$G:$G)</f>
        <v>3</v>
      </c>
      <c r="K343" s="1"/>
    </row>
    <row r="344" spans="1:11" ht="32.1" customHeight="1">
      <c r="A344" s="1">
        <v>111</v>
      </c>
      <c r="B344" s="7">
        <v>46420</v>
      </c>
      <c r="C344" s="1">
        <v>3</v>
      </c>
      <c r="D344" s="1" t="s">
        <v>1302</v>
      </c>
      <c r="E344" s="1" t="s">
        <v>333</v>
      </c>
      <c r="F344" s="8" t="s">
        <v>1303</v>
      </c>
      <c r="G344" s="1">
        <v>0.5</v>
      </c>
      <c r="H344" s="1" t="str">
        <f>IFERROR(_xlfn.SINGLE(_xlfn.XLOOKUP(D344, 'Task Plan'!$A:$A, 'Task Plan'!$K:$K)), "")</f>
        <v>Not Started</v>
      </c>
      <c r="I344" s="6">
        <f>IFERROR(_xlfn.SINGLE(_xlfn.XLOOKUP(D344, 'Task Plan'!$A:$A, 'Task Plan'!$L:$L)), 0)</f>
        <v>0</v>
      </c>
      <c r="J344" s="1">
        <f>SUMIF($A:$A,A344,$G:$G)</f>
        <v>3</v>
      </c>
      <c r="K344" s="1"/>
    </row>
    <row r="345" spans="1:11" ht="32.1" customHeight="1">
      <c r="A345" s="1">
        <v>111</v>
      </c>
      <c r="B345" s="7">
        <v>46420</v>
      </c>
      <c r="C345" s="1">
        <v>3</v>
      </c>
      <c r="D345" s="1" t="s">
        <v>1305</v>
      </c>
      <c r="E345" s="1" t="s">
        <v>333</v>
      </c>
      <c r="F345" s="8" t="s">
        <v>1306</v>
      </c>
      <c r="G345" s="1">
        <v>1.5</v>
      </c>
      <c r="H345" s="1" t="str">
        <f>IFERROR(_xlfn.SINGLE(_xlfn.XLOOKUP(D345, 'Task Plan'!$A:$A, 'Task Plan'!$K:$K)), "")</f>
        <v>Not Started</v>
      </c>
      <c r="I345" s="6">
        <f>IFERROR(_xlfn.SINGLE(_xlfn.XLOOKUP(D345, 'Task Plan'!$A:$A, 'Task Plan'!$L:$L)), 0)</f>
        <v>0</v>
      </c>
      <c r="J345" s="1">
        <f>SUMIF($A:$A,A345,$G:$G)</f>
        <v>3</v>
      </c>
      <c r="K345" s="1"/>
    </row>
    <row r="346" spans="1:11" ht="32.1" customHeight="1">
      <c r="A346" s="1">
        <v>112</v>
      </c>
      <c r="B346" s="7">
        <v>46421</v>
      </c>
      <c r="C346" s="1">
        <v>2</v>
      </c>
      <c r="D346" s="1" t="s">
        <v>1307</v>
      </c>
      <c r="E346" s="1" t="s">
        <v>333</v>
      </c>
      <c r="F346" s="8" t="s">
        <v>1308</v>
      </c>
      <c r="G346" s="1">
        <v>1</v>
      </c>
      <c r="H346" s="1" t="str">
        <f>IFERROR(_xlfn.SINGLE(_xlfn.XLOOKUP(D346, 'Task Plan'!$A:$A, 'Task Plan'!$K:$K)), "")</f>
        <v>Not Started</v>
      </c>
      <c r="I346" s="6">
        <f>IFERROR(_xlfn.SINGLE(_xlfn.XLOOKUP(D346, 'Task Plan'!$A:$A, 'Task Plan'!$L:$L)), 0)</f>
        <v>0</v>
      </c>
      <c r="J346" s="1">
        <f>SUMIF($A:$A,A346,$G:$G)</f>
        <v>2</v>
      </c>
      <c r="K346" s="1"/>
    </row>
    <row r="347" spans="1:11" ht="32.1" customHeight="1">
      <c r="A347" s="1">
        <v>112</v>
      </c>
      <c r="B347" s="7">
        <v>46421</v>
      </c>
      <c r="C347" s="1">
        <v>2</v>
      </c>
      <c r="D347" s="1" t="s">
        <v>1310</v>
      </c>
      <c r="E347" s="1" t="s">
        <v>333</v>
      </c>
      <c r="F347" s="8" t="s">
        <v>1311</v>
      </c>
      <c r="G347" s="1">
        <v>0.5</v>
      </c>
      <c r="H347" s="1" t="str">
        <f>IFERROR(_xlfn.SINGLE(_xlfn.XLOOKUP(D347, 'Task Plan'!$A:$A, 'Task Plan'!$K:$K)), "")</f>
        <v>Not Started</v>
      </c>
      <c r="I347" s="6">
        <f>IFERROR(_xlfn.SINGLE(_xlfn.XLOOKUP(D347, 'Task Plan'!$A:$A, 'Task Plan'!$L:$L)), 0)</f>
        <v>0</v>
      </c>
      <c r="J347" s="1">
        <f>SUMIF($A:$A,A347,$G:$G)</f>
        <v>2</v>
      </c>
      <c r="K347" s="1"/>
    </row>
    <row r="348" spans="1:11" ht="32.1" customHeight="1">
      <c r="A348" s="1">
        <v>112</v>
      </c>
      <c r="B348" s="7">
        <v>46421</v>
      </c>
      <c r="C348" s="1">
        <v>2</v>
      </c>
      <c r="D348" s="1" t="s">
        <v>1313</v>
      </c>
      <c r="E348" s="1" t="s">
        <v>387</v>
      </c>
      <c r="F348" s="8" t="s">
        <v>1314</v>
      </c>
      <c r="G348" s="1">
        <v>0.5</v>
      </c>
      <c r="H348" s="1" t="str">
        <f>IFERROR(_xlfn.SINGLE(_xlfn.XLOOKUP(D348, 'Task Plan'!$A:$A, 'Task Plan'!$K:$K)), "")</f>
        <v>Not Started</v>
      </c>
      <c r="I348" s="6">
        <f>IFERROR(_xlfn.SINGLE(_xlfn.XLOOKUP(D348, 'Task Plan'!$A:$A, 'Task Plan'!$L:$L)), 0)</f>
        <v>0</v>
      </c>
      <c r="J348" s="1">
        <f>SUMIF($A:$A,A348,$G:$G)</f>
        <v>2</v>
      </c>
      <c r="K348" s="1"/>
    </row>
    <row r="349" spans="1:11" ht="32.1" customHeight="1">
      <c r="A349" s="1">
        <v>113</v>
      </c>
      <c r="B349" s="7">
        <v>46422</v>
      </c>
      <c r="C349" s="1">
        <v>3</v>
      </c>
      <c r="D349" s="1" t="s">
        <v>1316</v>
      </c>
      <c r="E349" s="1" t="s">
        <v>387</v>
      </c>
      <c r="F349" s="8" t="s">
        <v>1317</v>
      </c>
      <c r="G349" s="1">
        <v>1</v>
      </c>
      <c r="H349" s="1" t="str">
        <f>IFERROR(_xlfn.SINGLE(_xlfn.XLOOKUP(D349, 'Task Plan'!$A:$A, 'Task Plan'!$K:$K)), "")</f>
        <v>Not Started</v>
      </c>
      <c r="I349" s="6">
        <f>IFERROR(_xlfn.SINGLE(_xlfn.XLOOKUP(D349, 'Task Plan'!$A:$A, 'Task Plan'!$L:$L)), 0)</f>
        <v>0</v>
      </c>
      <c r="J349" s="1">
        <f>SUMIF($A:$A,A349,$G:$G)</f>
        <v>3</v>
      </c>
      <c r="K349" s="1"/>
    </row>
    <row r="350" spans="1:11" ht="32.1" customHeight="1">
      <c r="A350" s="1">
        <v>113</v>
      </c>
      <c r="B350" s="7">
        <v>46422</v>
      </c>
      <c r="C350" s="1">
        <v>3</v>
      </c>
      <c r="D350" s="1" t="s">
        <v>1319</v>
      </c>
      <c r="E350" s="1" t="s">
        <v>387</v>
      </c>
      <c r="F350" s="8" t="s">
        <v>1320</v>
      </c>
      <c r="G350" s="1">
        <v>2</v>
      </c>
      <c r="H350" s="1" t="str">
        <f>IFERROR(_xlfn.SINGLE(_xlfn.XLOOKUP(D350, 'Task Plan'!$A:$A, 'Task Plan'!$K:$K)), "")</f>
        <v>Not Started</v>
      </c>
      <c r="I350" s="6">
        <f>IFERROR(_xlfn.SINGLE(_xlfn.XLOOKUP(D350, 'Task Plan'!$A:$A, 'Task Plan'!$L:$L)), 0)</f>
        <v>0</v>
      </c>
      <c r="J350" s="1">
        <f>SUMIF($A:$A,A350,$G:$G)</f>
        <v>3</v>
      </c>
      <c r="K350" s="1"/>
    </row>
    <row r="351" spans="1:11" ht="32.1" customHeight="1">
      <c r="A351" s="1">
        <v>114</v>
      </c>
      <c r="B351" s="7">
        <v>46423</v>
      </c>
      <c r="C351" s="1">
        <v>2</v>
      </c>
      <c r="D351" s="1" t="s">
        <v>1321</v>
      </c>
      <c r="E351" s="1" t="s">
        <v>387</v>
      </c>
      <c r="F351" s="8" t="s">
        <v>1322</v>
      </c>
      <c r="G351" s="1">
        <v>1</v>
      </c>
      <c r="H351" s="1" t="str">
        <f>IFERROR(_xlfn.SINGLE(_xlfn.XLOOKUP(D351, 'Task Plan'!$A:$A, 'Task Plan'!$K:$K)), "")</f>
        <v>Not Started</v>
      </c>
      <c r="I351" s="6">
        <f>IFERROR(_xlfn.SINGLE(_xlfn.XLOOKUP(D351, 'Task Plan'!$A:$A, 'Task Plan'!$L:$L)), 0)</f>
        <v>0</v>
      </c>
      <c r="J351" s="1">
        <f>SUMIF($A:$A,A351,$G:$G)</f>
        <v>2</v>
      </c>
      <c r="K351" s="1"/>
    </row>
    <row r="352" spans="1:11" ht="32.1" customHeight="1">
      <c r="A352" s="1">
        <v>114</v>
      </c>
      <c r="B352" s="7">
        <v>46423</v>
      </c>
      <c r="C352" s="1">
        <v>2</v>
      </c>
      <c r="D352" s="1" t="s">
        <v>1324</v>
      </c>
      <c r="E352" s="1" t="s">
        <v>387</v>
      </c>
      <c r="F352" s="8" t="s">
        <v>1325</v>
      </c>
      <c r="G352" s="1">
        <v>0.5</v>
      </c>
      <c r="H352" s="1" t="str">
        <f>IFERROR(_xlfn.SINGLE(_xlfn.XLOOKUP(D352, 'Task Plan'!$A:$A, 'Task Plan'!$K:$K)), "")</f>
        <v>Not Started</v>
      </c>
      <c r="I352" s="6">
        <f>IFERROR(_xlfn.SINGLE(_xlfn.XLOOKUP(D352, 'Task Plan'!$A:$A, 'Task Plan'!$L:$L)), 0)</f>
        <v>0</v>
      </c>
      <c r="J352" s="1">
        <f>SUMIF($A:$A,A352,$G:$G)</f>
        <v>2</v>
      </c>
      <c r="K352" s="1"/>
    </row>
    <row r="353" spans="1:11" ht="32.1" customHeight="1">
      <c r="A353" s="1">
        <v>114</v>
      </c>
      <c r="B353" s="7">
        <v>46423</v>
      </c>
      <c r="C353" s="1">
        <v>2</v>
      </c>
      <c r="D353" s="1" t="s">
        <v>1327</v>
      </c>
      <c r="E353" s="1" t="s">
        <v>387</v>
      </c>
      <c r="F353" s="8" t="s">
        <v>1328</v>
      </c>
      <c r="G353" s="1">
        <v>0.5</v>
      </c>
      <c r="H353" s="1" t="str">
        <f>IFERROR(_xlfn.SINGLE(_xlfn.XLOOKUP(D353, 'Task Plan'!$A:$A, 'Task Plan'!$K:$K)), "")</f>
        <v>Not Started</v>
      </c>
      <c r="I353" s="6">
        <f>IFERROR(_xlfn.SINGLE(_xlfn.XLOOKUP(D353, 'Task Plan'!$A:$A, 'Task Plan'!$L:$L)), 0)</f>
        <v>0</v>
      </c>
      <c r="J353" s="1">
        <f>SUMIF($A:$A,A353,$G:$G)</f>
        <v>2</v>
      </c>
      <c r="K353" s="1"/>
    </row>
    <row r="354" spans="1:11" ht="32.1" customHeight="1">
      <c r="A354" s="1">
        <v>115</v>
      </c>
      <c r="B354" s="7">
        <v>46426</v>
      </c>
      <c r="C354" s="1">
        <v>2.5</v>
      </c>
      <c r="D354" s="1" t="s">
        <v>1327</v>
      </c>
      <c r="E354" s="1" t="s">
        <v>387</v>
      </c>
      <c r="F354" s="8" t="s">
        <v>1328</v>
      </c>
      <c r="G354" s="1">
        <v>0.5</v>
      </c>
      <c r="H354" s="1" t="str">
        <f>IFERROR(_xlfn.SINGLE(_xlfn.XLOOKUP(D354, 'Task Plan'!$A:$A, 'Task Plan'!$K:$K)), "")</f>
        <v>Not Started</v>
      </c>
      <c r="I354" s="6">
        <f>IFERROR(_xlfn.SINGLE(_xlfn.XLOOKUP(D354, 'Task Plan'!$A:$A, 'Task Plan'!$L:$L)), 0)</f>
        <v>0</v>
      </c>
      <c r="J354" s="1">
        <f>SUMIF($A:$A,A354,$G:$G)</f>
        <v>2.5</v>
      </c>
      <c r="K354" s="1"/>
    </row>
    <row r="355" spans="1:11" ht="32.1" customHeight="1">
      <c r="A355" s="1">
        <v>115</v>
      </c>
      <c r="B355" s="7">
        <v>46426</v>
      </c>
      <c r="C355" s="1">
        <v>2.5</v>
      </c>
      <c r="D355" s="1" t="s">
        <v>1330</v>
      </c>
      <c r="E355" s="1" t="s">
        <v>387</v>
      </c>
      <c r="F355" s="8" t="s">
        <v>1331</v>
      </c>
      <c r="G355" s="1">
        <v>1</v>
      </c>
      <c r="H355" s="1" t="str">
        <f>IFERROR(_xlfn.SINGLE(_xlfn.XLOOKUP(D355, 'Task Plan'!$A:$A, 'Task Plan'!$K:$K)), "")</f>
        <v>Not Started</v>
      </c>
      <c r="I355" s="6">
        <f>IFERROR(_xlfn.SINGLE(_xlfn.XLOOKUP(D355, 'Task Plan'!$A:$A, 'Task Plan'!$L:$L)), 0)</f>
        <v>0</v>
      </c>
      <c r="J355" s="1">
        <f>SUMIF($A:$A,A355,$G:$G)</f>
        <v>2.5</v>
      </c>
      <c r="K355" s="1"/>
    </row>
    <row r="356" spans="1:11" ht="32.1" customHeight="1">
      <c r="A356" s="1">
        <v>115</v>
      </c>
      <c r="B356" s="7">
        <v>46426</v>
      </c>
      <c r="C356" s="1">
        <v>2.5</v>
      </c>
      <c r="D356" s="1" t="s">
        <v>1333</v>
      </c>
      <c r="E356" s="1" t="s">
        <v>387</v>
      </c>
      <c r="F356" s="8" t="s">
        <v>1334</v>
      </c>
      <c r="G356" s="1">
        <v>1</v>
      </c>
      <c r="H356" s="1" t="str">
        <f>IFERROR(_xlfn.SINGLE(_xlfn.XLOOKUP(D356, 'Task Plan'!$A:$A, 'Task Plan'!$K:$K)), "")</f>
        <v>Not Started</v>
      </c>
      <c r="I356" s="6">
        <f>IFERROR(_xlfn.SINGLE(_xlfn.XLOOKUP(D356, 'Task Plan'!$A:$A, 'Task Plan'!$L:$L)), 0)</f>
        <v>0</v>
      </c>
      <c r="J356" s="1">
        <f>SUMIF($A:$A,A356,$G:$G)</f>
        <v>2.5</v>
      </c>
      <c r="K356" s="1"/>
    </row>
    <row r="357" spans="1:11" ht="32.1" customHeight="1">
      <c r="A357" s="1">
        <v>116</v>
      </c>
      <c r="B357" s="7">
        <v>46427</v>
      </c>
      <c r="C357" s="1">
        <v>3</v>
      </c>
      <c r="D357" s="1" t="s">
        <v>1335</v>
      </c>
      <c r="E357" s="1" t="s">
        <v>387</v>
      </c>
      <c r="F357" s="8" t="s">
        <v>1336</v>
      </c>
      <c r="G357" s="1">
        <v>1</v>
      </c>
      <c r="H357" s="1" t="str">
        <f>IFERROR(_xlfn.SINGLE(_xlfn.XLOOKUP(D357, 'Task Plan'!$A:$A, 'Task Plan'!$K:$K)), "")</f>
        <v>Not Started</v>
      </c>
      <c r="I357" s="6">
        <f>IFERROR(_xlfn.SINGLE(_xlfn.XLOOKUP(D357, 'Task Plan'!$A:$A, 'Task Plan'!$L:$L)), 0)</f>
        <v>0</v>
      </c>
      <c r="J357" s="1">
        <f>SUMIF($A:$A,A357,$G:$G)</f>
        <v>3</v>
      </c>
      <c r="K357" s="1"/>
    </row>
    <row r="358" spans="1:11" ht="32.1" customHeight="1">
      <c r="A358" s="1">
        <v>116</v>
      </c>
      <c r="B358" s="7">
        <v>46427</v>
      </c>
      <c r="C358" s="1">
        <v>3</v>
      </c>
      <c r="D358" s="1" t="s">
        <v>1338</v>
      </c>
      <c r="E358" s="1" t="s">
        <v>387</v>
      </c>
      <c r="F358" s="8" t="s">
        <v>1339</v>
      </c>
      <c r="G358" s="1">
        <v>0.5</v>
      </c>
      <c r="H358" s="1" t="str">
        <f>IFERROR(_xlfn.SINGLE(_xlfn.XLOOKUP(D358, 'Task Plan'!$A:$A, 'Task Plan'!$K:$K)), "")</f>
        <v>Not Started</v>
      </c>
      <c r="I358" s="6">
        <f>IFERROR(_xlfn.SINGLE(_xlfn.XLOOKUP(D358, 'Task Plan'!$A:$A, 'Task Plan'!$L:$L)), 0)</f>
        <v>0</v>
      </c>
      <c r="J358" s="1">
        <f>SUMIF($A:$A,A358,$G:$G)</f>
        <v>3</v>
      </c>
      <c r="K358" s="1"/>
    </row>
    <row r="359" spans="1:11" ht="32.1" customHeight="1">
      <c r="A359" s="1">
        <v>116</v>
      </c>
      <c r="B359" s="7">
        <v>46427</v>
      </c>
      <c r="C359" s="1">
        <v>3</v>
      </c>
      <c r="D359" s="1" t="s">
        <v>1341</v>
      </c>
      <c r="E359" s="1" t="s">
        <v>387</v>
      </c>
      <c r="F359" s="8" t="s">
        <v>1342</v>
      </c>
      <c r="G359" s="1">
        <v>0.5</v>
      </c>
      <c r="H359" s="1" t="str">
        <f>IFERROR(_xlfn.SINGLE(_xlfn.XLOOKUP(D359, 'Task Plan'!$A:$A, 'Task Plan'!$K:$K)), "")</f>
        <v>Not Started</v>
      </c>
      <c r="I359" s="6">
        <f>IFERROR(_xlfn.SINGLE(_xlfn.XLOOKUP(D359, 'Task Plan'!$A:$A, 'Task Plan'!$L:$L)), 0)</f>
        <v>0</v>
      </c>
      <c r="J359" s="1">
        <f>SUMIF($A:$A,A359,$G:$G)</f>
        <v>3</v>
      </c>
      <c r="K359" s="1"/>
    </row>
    <row r="360" spans="1:11" ht="32.1" customHeight="1">
      <c r="A360" s="1">
        <v>116</v>
      </c>
      <c r="B360" s="7">
        <v>46427</v>
      </c>
      <c r="C360" s="1">
        <v>3</v>
      </c>
      <c r="D360" s="1" t="s">
        <v>1344</v>
      </c>
      <c r="E360" s="1" t="s">
        <v>387</v>
      </c>
      <c r="F360" s="8" t="s">
        <v>1345</v>
      </c>
      <c r="G360" s="1">
        <v>1</v>
      </c>
      <c r="H360" s="1" t="str">
        <f>IFERROR(_xlfn.SINGLE(_xlfn.XLOOKUP(D360, 'Task Plan'!$A:$A, 'Task Plan'!$K:$K)), "")</f>
        <v>Not Started</v>
      </c>
      <c r="I360" s="6">
        <f>IFERROR(_xlfn.SINGLE(_xlfn.XLOOKUP(D360, 'Task Plan'!$A:$A, 'Task Plan'!$L:$L)), 0)</f>
        <v>0</v>
      </c>
      <c r="J360" s="1">
        <f>SUMIF($A:$A,A360,$G:$G)</f>
        <v>3</v>
      </c>
      <c r="K360" s="1"/>
    </row>
    <row r="361" spans="1:11" ht="32.1" customHeight="1">
      <c r="A361" s="1">
        <v>117</v>
      </c>
      <c r="B361" s="7">
        <v>46428</v>
      </c>
      <c r="C361" s="1">
        <v>2.5</v>
      </c>
      <c r="D361" s="1" t="s">
        <v>1347</v>
      </c>
      <c r="E361" s="1" t="s">
        <v>387</v>
      </c>
      <c r="F361" s="8" t="s">
        <v>1348</v>
      </c>
      <c r="G361" s="1">
        <v>1.5</v>
      </c>
      <c r="H361" s="1" t="str">
        <f>IFERROR(_xlfn.SINGLE(_xlfn.XLOOKUP(D361, 'Task Plan'!$A:$A, 'Task Plan'!$K:$K)), "")</f>
        <v>Not Started</v>
      </c>
      <c r="I361" s="6">
        <f>IFERROR(_xlfn.SINGLE(_xlfn.XLOOKUP(D361, 'Task Plan'!$A:$A, 'Task Plan'!$L:$L)), 0)</f>
        <v>0</v>
      </c>
      <c r="J361" s="1">
        <f>SUMIF($A:$A,A361,$G:$G)</f>
        <v>2.5</v>
      </c>
      <c r="K361" s="1"/>
    </row>
    <row r="362" spans="1:11" ht="32.1" customHeight="1">
      <c r="A362" s="1">
        <v>117</v>
      </c>
      <c r="B362" s="7">
        <v>46428</v>
      </c>
      <c r="C362" s="1">
        <v>2.5</v>
      </c>
      <c r="D362" s="1" t="s">
        <v>1349</v>
      </c>
      <c r="E362" s="1" t="s">
        <v>387</v>
      </c>
      <c r="F362" s="8" t="s">
        <v>1350</v>
      </c>
      <c r="G362" s="1">
        <v>1</v>
      </c>
      <c r="H362" s="1" t="str">
        <f>IFERROR(_xlfn.SINGLE(_xlfn.XLOOKUP(D362, 'Task Plan'!$A:$A, 'Task Plan'!$K:$K)), "")</f>
        <v>Not Started</v>
      </c>
      <c r="I362" s="6">
        <f>IFERROR(_xlfn.SINGLE(_xlfn.XLOOKUP(D362, 'Task Plan'!$A:$A, 'Task Plan'!$L:$L)), 0)</f>
        <v>0</v>
      </c>
      <c r="J362" s="1">
        <f>SUMIF($A:$A,A362,$G:$G)</f>
        <v>2.5</v>
      </c>
      <c r="K362" s="1"/>
    </row>
    <row r="363" spans="1:11" ht="32.1" customHeight="1">
      <c r="A363" s="1">
        <v>118</v>
      </c>
      <c r="B363" s="7">
        <v>46429</v>
      </c>
      <c r="C363" s="1">
        <v>3</v>
      </c>
      <c r="D363" s="1" t="s">
        <v>1352</v>
      </c>
      <c r="E363" s="1" t="s">
        <v>387</v>
      </c>
      <c r="F363" s="8" t="s">
        <v>1353</v>
      </c>
      <c r="G363" s="1">
        <v>0.5</v>
      </c>
      <c r="H363" s="1" t="str">
        <f>IFERROR(_xlfn.SINGLE(_xlfn.XLOOKUP(D363, 'Task Plan'!$A:$A, 'Task Plan'!$K:$K)), "")</f>
        <v>Not Started</v>
      </c>
      <c r="I363" s="6">
        <f>IFERROR(_xlfn.SINGLE(_xlfn.XLOOKUP(D363, 'Task Plan'!$A:$A, 'Task Plan'!$L:$L)), 0)</f>
        <v>0</v>
      </c>
      <c r="J363" s="1">
        <f>SUMIF($A:$A,A363,$G:$G)</f>
        <v>3</v>
      </c>
      <c r="K363" s="1"/>
    </row>
    <row r="364" spans="1:11" ht="32.1" customHeight="1">
      <c r="A364" s="1">
        <v>118</v>
      </c>
      <c r="B364" s="7">
        <v>46429</v>
      </c>
      <c r="C364" s="1">
        <v>3</v>
      </c>
      <c r="D364" s="1" t="s">
        <v>1355</v>
      </c>
      <c r="E364" s="1" t="s">
        <v>387</v>
      </c>
      <c r="F364" s="8" t="s">
        <v>1356</v>
      </c>
      <c r="G364" s="1">
        <v>1</v>
      </c>
      <c r="H364" s="1" t="str">
        <f>IFERROR(_xlfn.SINGLE(_xlfn.XLOOKUP(D364, 'Task Plan'!$A:$A, 'Task Plan'!$K:$K)), "")</f>
        <v>Not Started</v>
      </c>
      <c r="I364" s="6">
        <f>IFERROR(_xlfn.SINGLE(_xlfn.XLOOKUP(D364, 'Task Plan'!$A:$A, 'Task Plan'!$L:$L)), 0)</f>
        <v>0</v>
      </c>
      <c r="J364" s="1">
        <f>SUMIF($A:$A,A364,$G:$G)</f>
        <v>3</v>
      </c>
      <c r="K364" s="1"/>
    </row>
    <row r="365" spans="1:11" ht="32.1" customHeight="1">
      <c r="A365" s="1">
        <v>118</v>
      </c>
      <c r="B365" s="7">
        <v>46429</v>
      </c>
      <c r="C365" s="1">
        <v>3</v>
      </c>
      <c r="D365" s="1" t="s">
        <v>1358</v>
      </c>
      <c r="E365" s="1" t="s">
        <v>387</v>
      </c>
      <c r="F365" s="8" t="s">
        <v>1359</v>
      </c>
      <c r="G365" s="1">
        <v>0.5</v>
      </c>
      <c r="H365" s="1" t="str">
        <f>IFERROR(_xlfn.SINGLE(_xlfn.XLOOKUP(D365, 'Task Plan'!$A:$A, 'Task Plan'!$K:$K)), "")</f>
        <v>Not Started</v>
      </c>
      <c r="I365" s="6">
        <f>IFERROR(_xlfn.SINGLE(_xlfn.XLOOKUP(D365, 'Task Plan'!$A:$A, 'Task Plan'!$L:$L)), 0)</f>
        <v>0</v>
      </c>
      <c r="J365" s="1">
        <f>SUMIF($A:$A,A365,$G:$G)</f>
        <v>3</v>
      </c>
      <c r="K365" s="1"/>
    </row>
    <row r="366" spans="1:11" ht="32.1" customHeight="1">
      <c r="A366" s="1">
        <v>118</v>
      </c>
      <c r="B366" s="7">
        <v>46429</v>
      </c>
      <c r="C366" s="1">
        <v>3</v>
      </c>
      <c r="D366" s="1" t="s">
        <v>1361</v>
      </c>
      <c r="E366" s="1" t="s">
        <v>387</v>
      </c>
      <c r="F366" s="8" t="s">
        <v>1362</v>
      </c>
      <c r="G366" s="1">
        <v>1</v>
      </c>
      <c r="H366" s="1" t="str">
        <f>IFERROR(_xlfn.SINGLE(_xlfn.XLOOKUP(D366, 'Task Plan'!$A:$A, 'Task Plan'!$K:$K)), "")</f>
        <v>Not Started</v>
      </c>
      <c r="I366" s="6">
        <f>IFERROR(_xlfn.SINGLE(_xlfn.XLOOKUP(D366, 'Task Plan'!$A:$A, 'Task Plan'!$L:$L)), 0)</f>
        <v>0</v>
      </c>
      <c r="J366" s="1">
        <f>SUMIF($A:$A,A366,$G:$G)</f>
        <v>3</v>
      </c>
      <c r="K366" s="1"/>
    </row>
    <row r="367" spans="1:11" ht="32.1" customHeight="1">
      <c r="A367" s="1">
        <v>119</v>
      </c>
      <c r="B367" s="7">
        <v>46430</v>
      </c>
      <c r="C367" s="1">
        <v>3</v>
      </c>
      <c r="D367" s="1" t="s">
        <v>1363</v>
      </c>
      <c r="E367" s="1" t="s">
        <v>387</v>
      </c>
      <c r="F367" s="8" t="s">
        <v>1364</v>
      </c>
      <c r="G367" s="1">
        <v>1</v>
      </c>
      <c r="H367" s="1" t="str">
        <f>IFERROR(_xlfn.SINGLE(_xlfn.XLOOKUP(D367, 'Task Plan'!$A:$A, 'Task Plan'!$K:$K)), "")</f>
        <v>Not Started</v>
      </c>
      <c r="I367" s="6">
        <f>IFERROR(_xlfn.SINGLE(_xlfn.XLOOKUP(D367, 'Task Plan'!$A:$A, 'Task Plan'!$L:$L)), 0)</f>
        <v>0</v>
      </c>
      <c r="J367" s="1">
        <f>SUMIF($A:$A,A367,$G:$G)</f>
        <v>3</v>
      </c>
      <c r="K367" s="1"/>
    </row>
    <row r="368" spans="1:11" ht="32.1" customHeight="1">
      <c r="A368" s="1">
        <v>119</v>
      </c>
      <c r="B368" s="7">
        <v>46430</v>
      </c>
      <c r="C368" s="1">
        <v>3</v>
      </c>
      <c r="D368" s="1" t="s">
        <v>1366</v>
      </c>
      <c r="E368" s="1" t="s">
        <v>387</v>
      </c>
      <c r="F368" s="8" t="s">
        <v>1367</v>
      </c>
      <c r="G368" s="1">
        <v>0.5</v>
      </c>
      <c r="H368" s="1" t="str">
        <f>IFERROR(_xlfn.SINGLE(_xlfn.XLOOKUP(D368, 'Task Plan'!$A:$A, 'Task Plan'!$K:$K)), "")</f>
        <v>Not Started</v>
      </c>
      <c r="I368" s="6">
        <f>IFERROR(_xlfn.SINGLE(_xlfn.XLOOKUP(D368, 'Task Plan'!$A:$A, 'Task Plan'!$L:$L)), 0)</f>
        <v>0</v>
      </c>
      <c r="J368" s="1">
        <f>SUMIF($A:$A,A368,$G:$G)</f>
        <v>3</v>
      </c>
      <c r="K368" s="1"/>
    </row>
    <row r="369" spans="1:11" ht="32.1" customHeight="1">
      <c r="A369" s="1">
        <v>119</v>
      </c>
      <c r="B369" s="7">
        <v>46430</v>
      </c>
      <c r="C369" s="1">
        <v>3</v>
      </c>
      <c r="D369" s="1" t="s">
        <v>1369</v>
      </c>
      <c r="E369" s="1" t="s">
        <v>387</v>
      </c>
      <c r="F369" s="8" t="s">
        <v>1370</v>
      </c>
      <c r="G369" s="1">
        <v>1</v>
      </c>
      <c r="H369" s="1" t="str">
        <f>IFERROR(_xlfn.SINGLE(_xlfn.XLOOKUP(D369, 'Task Plan'!$A:$A, 'Task Plan'!$K:$K)), "")</f>
        <v>Not Started</v>
      </c>
      <c r="I369" s="6">
        <f>IFERROR(_xlfn.SINGLE(_xlfn.XLOOKUP(D369, 'Task Plan'!$A:$A, 'Task Plan'!$L:$L)), 0)</f>
        <v>0</v>
      </c>
      <c r="J369" s="1">
        <f>SUMIF($A:$A,A369,$G:$G)</f>
        <v>3</v>
      </c>
      <c r="K369" s="1"/>
    </row>
    <row r="370" spans="1:11" ht="32.1" customHeight="1">
      <c r="A370" s="1">
        <v>119</v>
      </c>
      <c r="B370" s="7">
        <v>46430</v>
      </c>
      <c r="C370" s="1">
        <v>3</v>
      </c>
      <c r="D370" s="1" t="s">
        <v>1372</v>
      </c>
      <c r="E370" s="1" t="s">
        <v>387</v>
      </c>
      <c r="F370" s="8" t="s">
        <v>1373</v>
      </c>
      <c r="G370" s="1">
        <v>0.5</v>
      </c>
      <c r="H370" s="1" t="str">
        <f>IFERROR(_xlfn.SINGLE(_xlfn.XLOOKUP(D370, 'Task Plan'!$A:$A, 'Task Plan'!$K:$K)), "")</f>
        <v>Not Started</v>
      </c>
      <c r="I370" s="6">
        <f>IFERROR(_xlfn.SINGLE(_xlfn.XLOOKUP(D370, 'Task Plan'!$A:$A, 'Task Plan'!$L:$L)), 0)</f>
        <v>0</v>
      </c>
      <c r="J370" s="1">
        <f>SUMIF($A:$A,A370,$G:$G)</f>
        <v>3</v>
      </c>
      <c r="K370" s="1"/>
    </row>
    <row r="371" spans="1:11" ht="32.1" customHeight="1">
      <c r="A371" s="1">
        <v>120</v>
      </c>
      <c r="B371" s="7">
        <v>46433</v>
      </c>
      <c r="C371" s="1">
        <v>2</v>
      </c>
      <c r="D371" s="1" t="s">
        <v>1372</v>
      </c>
      <c r="E371" s="1" t="s">
        <v>387</v>
      </c>
      <c r="F371" s="8" t="s">
        <v>1373</v>
      </c>
      <c r="G371" s="1">
        <v>0.5</v>
      </c>
      <c r="H371" s="1" t="str">
        <f>IFERROR(_xlfn.SINGLE(_xlfn.XLOOKUP(D371, 'Task Plan'!$A:$A, 'Task Plan'!$K:$K)), "")</f>
        <v>Not Started</v>
      </c>
      <c r="I371" s="6">
        <f>IFERROR(_xlfn.SINGLE(_xlfn.XLOOKUP(D371, 'Task Plan'!$A:$A, 'Task Plan'!$L:$L)), 0)</f>
        <v>0</v>
      </c>
      <c r="J371" s="1">
        <f>SUMIF($A:$A,A371,$G:$G)</f>
        <v>2</v>
      </c>
      <c r="K371" s="1"/>
    </row>
    <row r="372" spans="1:11" ht="32.1" customHeight="1">
      <c r="A372" s="1">
        <v>120</v>
      </c>
      <c r="B372" s="7">
        <v>46433</v>
      </c>
      <c r="C372" s="1">
        <v>2</v>
      </c>
      <c r="D372" s="1" t="s">
        <v>1375</v>
      </c>
      <c r="E372" s="1" t="s">
        <v>387</v>
      </c>
      <c r="F372" s="8" t="s">
        <v>1376</v>
      </c>
      <c r="G372" s="1">
        <v>1.5</v>
      </c>
      <c r="H372" s="1" t="str">
        <f>IFERROR(_xlfn.SINGLE(_xlfn.XLOOKUP(D372, 'Task Plan'!$A:$A, 'Task Plan'!$K:$K)), "")</f>
        <v>Not Started</v>
      </c>
      <c r="I372" s="6">
        <f>IFERROR(_xlfn.SINGLE(_xlfn.XLOOKUP(D372, 'Task Plan'!$A:$A, 'Task Plan'!$L:$L)), 0)</f>
        <v>0</v>
      </c>
      <c r="J372" s="1">
        <f>SUMIF($A:$A,A372,$G:$G)</f>
        <v>2</v>
      </c>
      <c r="K372" s="1"/>
    </row>
    <row r="373" spans="1:11" ht="32.1" customHeight="1">
      <c r="A373" s="1">
        <v>121</v>
      </c>
      <c r="B373" s="7">
        <v>46434</v>
      </c>
      <c r="C373" s="1">
        <v>2</v>
      </c>
      <c r="D373" s="1" t="s">
        <v>1377</v>
      </c>
      <c r="E373" s="1" t="s">
        <v>387</v>
      </c>
      <c r="F373" s="8" t="s">
        <v>1378</v>
      </c>
      <c r="G373" s="1">
        <v>1</v>
      </c>
      <c r="H373" s="1" t="str">
        <f>IFERROR(_xlfn.SINGLE(_xlfn.XLOOKUP(D373, 'Task Plan'!$A:$A, 'Task Plan'!$K:$K)), "")</f>
        <v>Not Started</v>
      </c>
      <c r="I373" s="6">
        <f>IFERROR(_xlfn.SINGLE(_xlfn.XLOOKUP(D373, 'Task Plan'!$A:$A, 'Task Plan'!$L:$L)), 0)</f>
        <v>0</v>
      </c>
      <c r="J373" s="1">
        <f>SUMIF($A:$A,A373,$G:$G)</f>
        <v>2</v>
      </c>
      <c r="K373" s="1"/>
    </row>
    <row r="374" spans="1:11" ht="32.1" customHeight="1">
      <c r="A374" s="1">
        <v>121</v>
      </c>
      <c r="B374" s="7">
        <v>46434</v>
      </c>
      <c r="C374" s="1">
        <v>2</v>
      </c>
      <c r="D374" s="1" t="s">
        <v>1380</v>
      </c>
      <c r="E374" s="1" t="s">
        <v>387</v>
      </c>
      <c r="F374" s="8" t="s">
        <v>1381</v>
      </c>
      <c r="G374" s="1">
        <v>0.5</v>
      </c>
      <c r="H374" s="1" t="str">
        <f>IFERROR(_xlfn.SINGLE(_xlfn.XLOOKUP(D374, 'Task Plan'!$A:$A, 'Task Plan'!$K:$K)), "")</f>
        <v>Not Started</v>
      </c>
      <c r="I374" s="6">
        <f>IFERROR(_xlfn.SINGLE(_xlfn.XLOOKUP(D374, 'Task Plan'!$A:$A, 'Task Plan'!$L:$L)), 0)</f>
        <v>0</v>
      </c>
      <c r="J374" s="1">
        <f>SUMIF($A:$A,A374,$G:$G)</f>
        <v>2</v>
      </c>
      <c r="K374" s="1"/>
    </row>
    <row r="375" spans="1:11" ht="32.1" customHeight="1">
      <c r="A375" s="1">
        <v>121</v>
      </c>
      <c r="B375" s="7">
        <v>46434</v>
      </c>
      <c r="C375" s="1">
        <v>2</v>
      </c>
      <c r="D375" s="1" t="s">
        <v>1383</v>
      </c>
      <c r="E375" s="1" t="s">
        <v>387</v>
      </c>
      <c r="F375" s="8" t="s">
        <v>1384</v>
      </c>
      <c r="G375" s="1">
        <v>0.5</v>
      </c>
      <c r="H375" s="1" t="str">
        <f>IFERROR(_xlfn.SINGLE(_xlfn.XLOOKUP(D375, 'Task Plan'!$A:$A, 'Task Plan'!$K:$K)), "")</f>
        <v>Not Started</v>
      </c>
      <c r="I375" s="6">
        <f>IFERROR(_xlfn.SINGLE(_xlfn.XLOOKUP(D375, 'Task Plan'!$A:$A, 'Task Plan'!$L:$L)), 0)</f>
        <v>0</v>
      </c>
      <c r="J375" s="1">
        <f>SUMIF($A:$A,A375,$G:$G)</f>
        <v>2</v>
      </c>
      <c r="K375" s="1"/>
    </row>
    <row r="376" spans="1:11" ht="32.1" customHeight="1">
      <c r="A376" s="1">
        <v>122</v>
      </c>
      <c r="B376" s="7">
        <v>46435</v>
      </c>
      <c r="C376" s="1">
        <v>2</v>
      </c>
      <c r="D376" s="1" t="s">
        <v>1383</v>
      </c>
      <c r="E376" s="1" t="s">
        <v>387</v>
      </c>
      <c r="F376" s="8" t="s">
        <v>1384</v>
      </c>
      <c r="G376" s="1">
        <v>0.5</v>
      </c>
      <c r="H376" s="1" t="str">
        <f>IFERROR(_xlfn.SINGLE(_xlfn.XLOOKUP(D376, 'Task Plan'!$A:$A, 'Task Plan'!$K:$K)), "")</f>
        <v>Not Started</v>
      </c>
      <c r="I376" s="6">
        <f>IFERROR(_xlfn.SINGLE(_xlfn.XLOOKUP(D376, 'Task Plan'!$A:$A, 'Task Plan'!$L:$L)), 0)</f>
        <v>0</v>
      </c>
      <c r="J376" s="1">
        <f>SUMIF($A:$A,A376,$G:$G)</f>
        <v>2</v>
      </c>
      <c r="K376" s="1"/>
    </row>
    <row r="377" spans="1:11" ht="32.1" customHeight="1">
      <c r="A377" s="1">
        <v>122</v>
      </c>
      <c r="B377" s="7">
        <v>46435</v>
      </c>
      <c r="C377" s="1">
        <v>2</v>
      </c>
      <c r="D377" s="1" t="s">
        <v>1386</v>
      </c>
      <c r="E377" s="1" t="s">
        <v>387</v>
      </c>
      <c r="F377" s="8" t="s">
        <v>1387</v>
      </c>
      <c r="G377" s="1">
        <v>1</v>
      </c>
      <c r="H377" s="1" t="str">
        <f>IFERROR(_xlfn.SINGLE(_xlfn.XLOOKUP(D377, 'Task Plan'!$A:$A, 'Task Plan'!$K:$K)), "")</f>
        <v>Not Started</v>
      </c>
      <c r="I377" s="6">
        <f>IFERROR(_xlfn.SINGLE(_xlfn.XLOOKUP(D377, 'Task Plan'!$A:$A, 'Task Plan'!$L:$L)), 0)</f>
        <v>0</v>
      </c>
      <c r="J377" s="1">
        <f>SUMIF($A:$A,A377,$G:$G)</f>
        <v>2</v>
      </c>
      <c r="K377" s="1"/>
    </row>
    <row r="378" spans="1:11" ht="32.1" customHeight="1">
      <c r="A378" s="1">
        <v>122</v>
      </c>
      <c r="B378" s="7">
        <v>46435</v>
      </c>
      <c r="C378" s="1">
        <v>2</v>
      </c>
      <c r="D378" s="1" t="s">
        <v>1389</v>
      </c>
      <c r="E378" s="1" t="s">
        <v>387</v>
      </c>
      <c r="F378" s="8" t="s">
        <v>1390</v>
      </c>
      <c r="G378" s="1">
        <v>0.5</v>
      </c>
      <c r="H378" s="1" t="str">
        <f>IFERROR(_xlfn.SINGLE(_xlfn.XLOOKUP(D378, 'Task Plan'!$A:$A, 'Task Plan'!$K:$K)), "")</f>
        <v>Not Started</v>
      </c>
      <c r="I378" s="6">
        <f>IFERROR(_xlfn.SINGLE(_xlfn.XLOOKUP(D378, 'Task Plan'!$A:$A, 'Task Plan'!$L:$L)), 0)</f>
        <v>0</v>
      </c>
      <c r="J378" s="1">
        <f>SUMIF($A:$A,A378,$G:$G)</f>
        <v>2</v>
      </c>
      <c r="K378" s="1"/>
    </row>
    <row r="379" spans="1:11" ht="32.1" customHeight="1">
      <c r="A379" s="1">
        <v>123</v>
      </c>
      <c r="B379" s="7">
        <v>46436</v>
      </c>
      <c r="C379" s="1">
        <v>2</v>
      </c>
      <c r="D379" s="1" t="s">
        <v>1389</v>
      </c>
      <c r="E379" s="1" t="s">
        <v>387</v>
      </c>
      <c r="F379" s="8" t="s">
        <v>1390</v>
      </c>
      <c r="G379" s="1">
        <v>1.5</v>
      </c>
      <c r="H379" s="1" t="str">
        <f>IFERROR(_xlfn.SINGLE(_xlfn.XLOOKUP(D379, 'Task Plan'!$A:$A, 'Task Plan'!$K:$K)), "")</f>
        <v>Not Started</v>
      </c>
      <c r="I379" s="6">
        <f>IFERROR(_xlfn.SINGLE(_xlfn.XLOOKUP(D379, 'Task Plan'!$A:$A, 'Task Plan'!$L:$L)), 0)</f>
        <v>0</v>
      </c>
      <c r="J379" s="1">
        <f>SUMIF($A:$A,A379,$G:$G)</f>
        <v>2</v>
      </c>
      <c r="K379" s="1"/>
    </row>
    <row r="380" spans="1:11" ht="32.1" customHeight="1">
      <c r="A380" s="1">
        <v>123</v>
      </c>
      <c r="B380" s="7">
        <v>46436</v>
      </c>
      <c r="C380" s="1">
        <v>2</v>
      </c>
      <c r="D380" s="1" t="s">
        <v>1391</v>
      </c>
      <c r="E380" s="1" t="s">
        <v>387</v>
      </c>
      <c r="F380" s="8" t="s">
        <v>1392</v>
      </c>
      <c r="G380" s="1">
        <v>0.5</v>
      </c>
      <c r="H380" s="1" t="str">
        <f>IFERROR(_xlfn.SINGLE(_xlfn.XLOOKUP(D380, 'Task Plan'!$A:$A, 'Task Plan'!$K:$K)), "")</f>
        <v>Not Started</v>
      </c>
      <c r="I380" s="6">
        <f>IFERROR(_xlfn.SINGLE(_xlfn.XLOOKUP(D380, 'Task Plan'!$A:$A, 'Task Plan'!$L:$L)), 0)</f>
        <v>0</v>
      </c>
      <c r="J380" s="1">
        <f>SUMIF($A:$A,A380,$G:$G)</f>
        <v>2</v>
      </c>
      <c r="K380" s="1"/>
    </row>
    <row r="381" spans="1:11" ht="32.1" customHeight="1">
      <c r="A381" s="1">
        <v>124</v>
      </c>
      <c r="B381" s="7">
        <v>46437</v>
      </c>
      <c r="C381" s="1">
        <v>2.5</v>
      </c>
      <c r="D381" s="1" t="s">
        <v>1391</v>
      </c>
      <c r="E381" s="1" t="s">
        <v>387</v>
      </c>
      <c r="F381" s="8" t="s">
        <v>1392</v>
      </c>
      <c r="G381" s="1">
        <v>0.5</v>
      </c>
      <c r="H381" s="1" t="str">
        <f>IFERROR(_xlfn.SINGLE(_xlfn.XLOOKUP(D381, 'Task Plan'!$A:$A, 'Task Plan'!$K:$K)), "")</f>
        <v>Not Started</v>
      </c>
      <c r="I381" s="6">
        <f>IFERROR(_xlfn.SINGLE(_xlfn.XLOOKUP(D381, 'Task Plan'!$A:$A, 'Task Plan'!$L:$L)), 0)</f>
        <v>0</v>
      </c>
      <c r="J381" s="1">
        <f>SUMIF($A:$A,A381,$G:$G)</f>
        <v>2.5</v>
      </c>
      <c r="K381" s="1"/>
    </row>
    <row r="382" spans="1:11" ht="32.1" customHeight="1">
      <c r="A382" s="1">
        <v>124</v>
      </c>
      <c r="B382" s="7">
        <v>46437</v>
      </c>
      <c r="C382" s="1">
        <v>2.5</v>
      </c>
      <c r="D382" s="1" t="s">
        <v>1394</v>
      </c>
      <c r="E382" s="1" t="s">
        <v>387</v>
      </c>
      <c r="F382" s="8" t="s">
        <v>1395</v>
      </c>
      <c r="G382" s="1">
        <v>0.5</v>
      </c>
      <c r="H382" s="1" t="str">
        <f>IFERROR(_xlfn.SINGLE(_xlfn.XLOOKUP(D382, 'Task Plan'!$A:$A, 'Task Plan'!$K:$K)), "")</f>
        <v>Not Started</v>
      </c>
      <c r="I382" s="6">
        <f>IFERROR(_xlfn.SINGLE(_xlfn.XLOOKUP(D382, 'Task Plan'!$A:$A, 'Task Plan'!$L:$L)), 0)</f>
        <v>0</v>
      </c>
      <c r="J382" s="1">
        <f>SUMIF($A:$A,A382,$G:$G)</f>
        <v>2.5</v>
      </c>
      <c r="K382" s="1"/>
    </row>
    <row r="383" spans="1:11" ht="32.1" customHeight="1">
      <c r="A383" s="1">
        <v>124</v>
      </c>
      <c r="B383" s="7">
        <v>46437</v>
      </c>
      <c r="C383" s="1">
        <v>2.5</v>
      </c>
      <c r="D383" s="1" t="s">
        <v>1397</v>
      </c>
      <c r="E383" s="1" t="s">
        <v>420</v>
      </c>
      <c r="F383" s="8" t="s">
        <v>1398</v>
      </c>
      <c r="G383" s="1">
        <v>1</v>
      </c>
      <c r="H383" s="1" t="str">
        <f>IFERROR(_xlfn.SINGLE(_xlfn.XLOOKUP(D383, 'Task Plan'!$A:$A, 'Task Plan'!$K:$K)), "")</f>
        <v>Not Started</v>
      </c>
      <c r="I383" s="6">
        <f>IFERROR(_xlfn.SINGLE(_xlfn.XLOOKUP(D383, 'Task Plan'!$A:$A, 'Task Plan'!$L:$L)), 0)</f>
        <v>0</v>
      </c>
      <c r="J383" s="1">
        <f>SUMIF($A:$A,A383,$G:$G)</f>
        <v>2.5</v>
      </c>
      <c r="K383" s="1"/>
    </row>
    <row r="384" spans="1:11" ht="32.1" customHeight="1">
      <c r="A384" s="1">
        <v>124</v>
      </c>
      <c r="B384" s="7">
        <v>46437</v>
      </c>
      <c r="C384" s="1">
        <v>2.5</v>
      </c>
      <c r="D384" s="1" t="s">
        <v>1400</v>
      </c>
      <c r="E384" s="1" t="s">
        <v>420</v>
      </c>
      <c r="F384" s="8" t="s">
        <v>1401</v>
      </c>
      <c r="G384" s="1">
        <v>0.5</v>
      </c>
      <c r="H384" s="1" t="str">
        <f>IFERROR(_xlfn.SINGLE(_xlfn.XLOOKUP(D384, 'Task Plan'!$A:$A, 'Task Plan'!$K:$K)), "")</f>
        <v>Not Started</v>
      </c>
      <c r="I384" s="6">
        <f>IFERROR(_xlfn.SINGLE(_xlfn.XLOOKUP(D384, 'Task Plan'!$A:$A, 'Task Plan'!$L:$L)), 0)</f>
        <v>0</v>
      </c>
      <c r="J384" s="1">
        <f>SUMIF($A:$A,A384,$G:$G)</f>
        <v>2.5</v>
      </c>
      <c r="K384" s="1"/>
    </row>
    <row r="385" spans="1:11" ht="32.1" customHeight="1">
      <c r="A385" s="1">
        <v>125</v>
      </c>
      <c r="B385" s="7">
        <v>46440</v>
      </c>
      <c r="C385" s="1">
        <v>2</v>
      </c>
      <c r="D385" s="1" t="s">
        <v>1403</v>
      </c>
      <c r="E385" s="1" t="s">
        <v>420</v>
      </c>
      <c r="F385" s="8" t="s">
        <v>1404</v>
      </c>
      <c r="G385" s="1">
        <v>1</v>
      </c>
      <c r="H385" s="1" t="str">
        <f>IFERROR(_xlfn.SINGLE(_xlfn.XLOOKUP(D385, 'Task Plan'!$A:$A, 'Task Plan'!$K:$K)), "")</f>
        <v>Not Started</v>
      </c>
      <c r="I385" s="6">
        <f>IFERROR(_xlfn.SINGLE(_xlfn.XLOOKUP(D385, 'Task Plan'!$A:$A, 'Task Plan'!$L:$L)), 0)</f>
        <v>0</v>
      </c>
      <c r="J385" s="1">
        <f>SUMIF($A:$A,A385,$G:$G)</f>
        <v>2</v>
      </c>
      <c r="K385" s="1"/>
    </row>
    <row r="386" spans="1:11" ht="32.1" customHeight="1">
      <c r="A386" s="1">
        <v>125</v>
      </c>
      <c r="B386" s="7">
        <v>46440</v>
      </c>
      <c r="C386" s="1">
        <v>2</v>
      </c>
      <c r="D386" s="1" t="s">
        <v>1405</v>
      </c>
      <c r="E386" s="1" t="s">
        <v>420</v>
      </c>
      <c r="F386" s="8" t="s">
        <v>1406</v>
      </c>
      <c r="G386" s="1">
        <v>1</v>
      </c>
      <c r="H386" s="1" t="str">
        <f>IFERROR(_xlfn.SINGLE(_xlfn.XLOOKUP(D386, 'Task Plan'!$A:$A, 'Task Plan'!$K:$K)), "")</f>
        <v>Not Started</v>
      </c>
      <c r="I386" s="6">
        <f>IFERROR(_xlfn.SINGLE(_xlfn.XLOOKUP(D386, 'Task Plan'!$A:$A, 'Task Plan'!$L:$L)), 0)</f>
        <v>0</v>
      </c>
      <c r="J386" s="1">
        <f>SUMIF($A:$A,A386,$G:$G)</f>
        <v>2</v>
      </c>
      <c r="K386" s="1"/>
    </row>
    <row r="387" spans="1:11" ht="32.1" customHeight="1">
      <c r="A387" s="1">
        <v>126</v>
      </c>
      <c r="B387" s="7">
        <v>46441</v>
      </c>
      <c r="C387" s="1">
        <v>2</v>
      </c>
      <c r="D387" s="1" t="s">
        <v>1408</v>
      </c>
      <c r="E387" s="1" t="s">
        <v>420</v>
      </c>
      <c r="F387" s="8" t="s">
        <v>1409</v>
      </c>
      <c r="G387" s="1">
        <v>0.5</v>
      </c>
      <c r="H387" s="1" t="str">
        <f>IFERROR(_xlfn.SINGLE(_xlfn.XLOOKUP(D387, 'Task Plan'!$A:$A, 'Task Plan'!$K:$K)), "")</f>
        <v>Not Started</v>
      </c>
      <c r="I387" s="6">
        <f>IFERROR(_xlfn.SINGLE(_xlfn.XLOOKUP(D387, 'Task Plan'!$A:$A, 'Task Plan'!$L:$L)), 0)</f>
        <v>0</v>
      </c>
      <c r="J387" s="1">
        <f>SUMIF($A:$A,A387,$G:$G)</f>
        <v>2</v>
      </c>
      <c r="K387" s="1"/>
    </row>
    <row r="388" spans="1:11" ht="32.1" customHeight="1">
      <c r="A388" s="1">
        <v>126</v>
      </c>
      <c r="B388" s="7">
        <v>46441</v>
      </c>
      <c r="C388" s="1">
        <v>2</v>
      </c>
      <c r="D388" s="1" t="s">
        <v>1411</v>
      </c>
      <c r="E388" s="1" t="s">
        <v>420</v>
      </c>
      <c r="F388" s="8" t="s">
        <v>1412</v>
      </c>
      <c r="G388" s="1">
        <v>0.5</v>
      </c>
      <c r="H388" s="1" t="str">
        <f>IFERROR(_xlfn.SINGLE(_xlfn.XLOOKUP(D388, 'Task Plan'!$A:$A, 'Task Plan'!$K:$K)), "")</f>
        <v>Not Started</v>
      </c>
      <c r="I388" s="6">
        <f>IFERROR(_xlfn.SINGLE(_xlfn.XLOOKUP(D388, 'Task Plan'!$A:$A, 'Task Plan'!$L:$L)), 0)</f>
        <v>0</v>
      </c>
      <c r="J388" s="1">
        <f>SUMIF($A:$A,A388,$G:$G)</f>
        <v>2</v>
      </c>
      <c r="K388" s="1"/>
    </row>
    <row r="389" spans="1:11" ht="32.1" customHeight="1">
      <c r="A389" s="1">
        <v>126</v>
      </c>
      <c r="B389" s="7">
        <v>46441</v>
      </c>
      <c r="C389" s="1">
        <v>2</v>
      </c>
      <c r="D389" s="1" t="s">
        <v>1414</v>
      </c>
      <c r="E389" s="1" t="s">
        <v>420</v>
      </c>
      <c r="F389" s="8" t="s">
        <v>1415</v>
      </c>
      <c r="G389" s="1">
        <v>1</v>
      </c>
      <c r="H389" s="1" t="str">
        <f>IFERROR(_xlfn.SINGLE(_xlfn.XLOOKUP(D389, 'Task Plan'!$A:$A, 'Task Plan'!$K:$K)), "")</f>
        <v>Not Started</v>
      </c>
      <c r="I389" s="6">
        <f>IFERROR(_xlfn.SINGLE(_xlfn.XLOOKUP(D389, 'Task Plan'!$A:$A, 'Task Plan'!$L:$L)), 0)</f>
        <v>0</v>
      </c>
      <c r="J389" s="1">
        <f>SUMIF($A:$A,A389,$G:$G)</f>
        <v>2</v>
      </c>
      <c r="K389" s="1"/>
    </row>
    <row r="390" spans="1:11" ht="32.1" customHeight="1">
      <c r="A390" s="1">
        <v>127</v>
      </c>
      <c r="B390" s="7">
        <v>46442</v>
      </c>
      <c r="C390" s="1">
        <v>3</v>
      </c>
      <c r="D390" s="1" t="s">
        <v>1417</v>
      </c>
      <c r="E390" s="1" t="s">
        <v>420</v>
      </c>
      <c r="F390" s="8" t="s">
        <v>1418</v>
      </c>
      <c r="G390" s="1">
        <v>2</v>
      </c>
      <c r="H390" s="1" t="str">
        <f>IFERROR(_xlfn.SINGLE(_xlfn.XLOOKUP(D390, 'Task Plan'!$A:$A, 'Task Plan'!$K:$K)), "")</f>
        <v>Not Started</v>
      </c>
      <c r="I390" s="6">
        <f>IFERROR(_xlfn.SINGLE(_xlfn.XLOOKUP(D390, 'Task Plan'!$A:$A, 'Task Plan'!$L:$L)), 0)</f>
        <v>0</v>
      </c>
      <c r="J390" s="1">
        <f>SUMIF($A:$A,A390,$G:$G)</f>
        <v>3</v>
      </c>
      <c r="K390" s="1"/>
    </row>
    <row r="391" spans="1:11" ht="32.1" customHeight="1">
      <c r="A391" s="1">
        <v>127</v>
      </c>
      <c r="B391" s="7">
        <v>46442</v>
      </c>
      <c r="C391" s="1">
        <v>3</v>
      </c>
      <c r="D391" s="1" t="s">
        <v>1419</v>
      </c>
      <c r="E391" s="1" t="s">
        <v>420</v>
      </c>
      <c r="F391" s="8" t="s">
        <v>1420</v>
      </c>
      <c r="G391" s="1">
        <v>1</v>
      </c>
      <c r="H391" s="1" t="str">
        <f>IFERROR(_xlfn.SINGLE(_xlfn.XLOOKUP(D391, 'Task Plan'!$A:$A, 'Task Plan'!$K:$K)), "")</f>
        <v>Not Started</v>
      </c>
      <c r="I391" s="6">
        <f>IFERROR(_xlfn.SINGLE(_xlfn.XLOOKUP(D391, 'Task Plan'!$A:$A, 'Task Plan'!$L:$L)), 0)</f>
        <v>0</v>
      </c>
      <c r="J391" s="1">
        <f>SUMIF($A:$A,A391,$G:$G)</f>
        <v>3</v>
      </c>
      <c r="K391" s="1"/>
    </row>
    <row r="392" spans="1:11" ht="32.1" customHeight="1">
      <c r="A392" s="1">
        <v>128</v>
      </c>
      <c r="B392" s="7">
        <v>46443</v>
      </c>
      <c r="C392" s="1">
        <v>2.5</v>
      </c>
      <c r="D392" s="1" t="s">
        <v>1422</v>
      </c>
      <c r="E392" s="1" t="s">
        <v>420</v>
      </c>
      <c r="F392" s="8" t="s">
        <v>1423</v>
      </c>
      <c r="G392" s="1">
        <v>0.5</v>
      </c>
      <c r="H392" s="1" t="str">
        <f>IFERROR(_xlfn.SINGLE(_xlfn.XLOOKUP(D392, 'Task Plan'!$A:$A, 'Task Plan'!$K:$K)), "")</f>
        <v>Not Started</v>
      </c>
      <c r="I392" s="6">
        <f>IFERROR(_xlfn.SINGLE(_xlfn.XLOOKUP(D392, 'Task Plan'!$A:$A, 'Task Plan'!$L:$L)), 0)</f>
        <v>0</v>
      </c>
      <c r="J392" s="1">
        <f>SUMIF($A:$A,A392,$G:$G)</f>
        <v>2.5</v>
      </c>
      <c r="K392" s="1"/>
    </row>
    <row r="393" spans="1:11" ht="32.1" customHeight="1">
      <c r="A393" s="1">
        <v>128</v>
      </c>
      <c r="B393" s="7">
        <v>46443</v>
      </c>
      <c r="C393" s="1">
        <v>2.5</v>
      </c>
      <c r="D393" s="1" t="s">
        <v>1425</v>
      </c>
      <c r="E393" s="1" t="s">
        <v>420</v>
      </c>
      <c r="F393" s="8" t="s">
        <v>1426</v>
      </c>
      <c r="G393" s="1">
        <v>1</v>
      </c>
      <c r="H393" s="1" t="str">
        <f>IFERROR(_xlfn.SINGLE(_xlfn.XLOOKUP(D393, 'Task Plan'!$A:$A, 'Task Plan'!$K:$K)), "")</f>
        <v>Not Started</v>
      </c>
      <c r="I393" s="6">
        <f>IFERROR(_xlfn.SINGLE(_xlfn.XLOOKUP(D393, 'Task Plan'!$A:$A, 'Task Plan'!$L:$L)), 0)</f>
        <v>0</v>
      </c>
      <c r="J393" s="1">
        <f>SUMIF($A:$A,A393,$G:$G)</f>
        <v>2.5</v>
      </c>
      <c r="K393" s="1"/>
    </row>
    <row r="394" spans="1:11" ht="32.1" customHeight="1">
      <c r="A394" s="1">
        <v>128</v>
      </c>
      <c r="B394" s="7">
        <v>46443</v>
      </c>
      <c r="C394" s="1">
        <v>2.5</v>
      </c>
      <c r="D394" s="1" t="s">
        <v>1428</v>
      </c>
      <c r="E394" s="1" t="s">
        <v>420</v>
      </c>
      <c r="F394" s="8" t="s">
        <v>1429</v>
      </c>
      <c r="G394" s="1">
        <v>1</v>
      </c>
      <c r="H394" s="1" t="str">
        <f>IFERROR(_xlfn.SINGLE(_xlfn.XLOOKUP(D394, 'Task Plan'!$A:$A, 'Task Plan'!$K:$K)), "")</f>
        <v>Not Started</v>
      </c>
      <c r="I394" s="6">
        <f>IFERROR(_xlfn.SINGLE(_xlfn.XLOOKUP(D394, 'Task Plan'!$A:$A, 'Task Plan'!$L:$L)), 0)</f>
        <v>0</v>
      </c>
      <c r="J394" s="1">
        <f>SUMIF($A:$A,A394,$G:$G)</f>
        <v>2.5</v>
      </c>
      <c r="K394" s="1"/>
    </row>
    <row r="395" spans="1:11" ht="32.1" customHeight="1">
      <c r="A395" s="1">
        <v>129</v>
      </c>
      <c r="B395" s="7">
        <v>46444</v>
      </c>
      <c r="C395" s="1">
        <v>2.5</v>
      </c>
      <c r="D395" s="1" t="s">
        <v>1431</v>
      </c>
      <c r="E395" s="1" t="s">
        <v>420</v>
      </c>
      <c r="F395" s="8" t="s">
        <v>1432</v>
      </c>
      <c r="G395" s="1">
        <v>1</v>
      </c>
      <c r="H395" s="1" t="str">
        <f>IFERROR(_xlfn.SINGLE(_xlfn.XLOOKUP(D395, 'Task Plan'!$A:$A, 'Task Plan'!$K:$K)), "")</f>
        <v>Not Started</v>
      </c>
      <c r="I395" s="6">
        <f>IFERROR(_xlfn.SINGLE(_xlfn.XLOOKUP(D395, 'Task Plan'!$A:$A, 'Task Plan'!$L:$L)), 0)</f>
        <v>0</v>
      </c>
      <c r="J395" s="1">
        <f>SUMIF($A:$A,A395,$G:$G)</f>
        <v>2.5</v>
      </c>
      <c r="K395" s="1"/>
    </row>
    <row r="396" spans="1:11" ht="32.1" customHeight="1">
      <c r="A396" s="1">
        <v>129</v>
      </c>
      <c r="B396" s="7">
        <v>46444</v>
      </c>
      <c r="C396" s="1">
        <v>2.5</v>
      </c>
      <c r="D396" s="1" t="s">
        <v>1433</v>
      </c>
      <c r="E396" s="1" t="s">
        <v>420</v>
      </c>
      <c r="F396" s="8" t="s">
        <v>1434</v>
      </c>
      <c r="G396" s="1">
        <v>1</v>
      </c>
      <c r="H396" s="1" t="str">
        <f>IFERROR(_xlfn.SINGLE(_xlfn.XLOOKUP(D396, 'Task Plan'!$A:$A, 'Task Plan'!$K:$K)), "")</f>
        <v>Not Started</v>
      </c>
      <c r="I396" s="6">
        <f>IFERROR(_xlfn.SINGLE(_xlfn.XLOOKUP(D396, 'Task Plan'!$A:$A, 'Task Plan'!$L:$L)), 0)</f>
        <v>0</v>
      </c>
      <c r="J396" s="1">
        <f>SUMIF($A:$A,A396,$G:$G)</f>
        <v>2.5</v>
      </c>
      <c r="K396" s="1"/>
    </row>
    <row r="397" spans="1:11" ht="32.1" customHeight="1">
      <c r="A397" s="1">
        <v>129</v>
      </c>
      <c r="B397" s="7">
        <v>46444</v>
      </c>
      <c r="C397" s="1">
        <v>2.5</v>
      </c>
      <c r="D397" s="1" t="s">
        <v>1436</v>
      </c>
      <c r="E397" s="1" t="s">
        <v>420</v>
      </c>
      <c r="F397" s="8" t="s">
        <v>1437</v>
      </c>
      <c r="G397" s="1">
        <v>0.5</v>
      </c>
      <c r="H397" s="1" t="str">
        <f>IFERROR(_xlfn.SINGLE(_xlfn.XLOOKUP(D397, 'Task Plan'!$A:$A, 'Task Plan'!$K:$K)), "")</f>
        <v>Not Started</v>
      </c>
      <c r="I397" s="6">
        <f>IFERROR(_xlfn.SINGLE(_xlfn.XLOOKUP(D397, 'Task Plan'!$A:$A, 'Task Plan'!$L:$L)), 0)</f>
        <v>0</v>
      </c>
      <c r="J397" s="1">
        <f>SUMIF($A:$A,A397,$G:$G)</f>
        <v>2.5</v>
      </c>
      <c r="K397" s="1"/>
    </row>
    <row r="398" spans="1:11" ht="32.1" customHeight="1">
      <c r="A398" s="1">
        <v>130</v>
      </c>
      <c r="B398" s="7">
        <v>46447</v>
      </c>
      <c r="C398" s="1">
        <v>3</v>
      </c>
      <c r="D398" s="1" t="s">
        <v>1439</v>
      </c>
      <c r="E398" s="1" t="s">
        <v>420</v>
      </c>
      <c r="F398" s="8" t="s">
        <v>1440</v>
      </c>
      <c r="G398" s="1">
        <v>1</v>
      </c>
      <c r="H398" s="1" t="str">
        <f>IFERROR(_xlfn.SINGLE(_xlfn.XLOOKUP(D398, 'Task Plan'!$A:$A, 'Task Plan'!$K:$K)), "")</f>
        <v>Not Started</v>
      </c>
      <c r="I398" s="6">
        <f>IFERROR(_xlfn.SINGLE(_xlfn.XLOOKUP(D398, 'Task Plan'!$A:$A, 'Task Plan'!$L:$L)), 0)</f>
        <v>0</v>
      </c>
      <c r="J398" s="1">
        <f>SUMIF($A:$A,A398,$G:$G)</f>
        <v>3</v>
      </c>
      <c r="K398" s="1"/>
    </row>
    <row r="399" spans="1:11" ht="32.1" customHeight="1">
      <c r="A399" s="1">
        <v>130</v>
      </c>
      <c r="B399" s="7">
        <v>46447</v>
      </c>
      <c r="C399" s="1">
        <v>3</v>
      </c>
      <c r="D399" s="1" t="s">
        <v>1442</v>
      </c>
      <c r="E399" s="1" t="s">
        <v>420</v>
      </c>
      <c r="F399" s="8" t="s">
        <v>1443</v>
      </c>
      <c r="G399" s="1">
        <v>1</v>
      </c>
      <c r="H399" s="1" t="str">
        <f>IFERROR(_xlfn.SINGLE(_xlfn.XLOOKUP(D399, 'Task Plan'!$A:$A, 'Task Plan'!$K:$K)), "")</f>
        <v>Not Started</v>
      </c>
      <c r="I399" s="6">
        <f>IFERROR(_xlfn.SINGLE(_xlfn.XLOOKUP(D399, 'Task Plan'!$A:$A, 'Task Plan'!$L:$L)), 0)</f>
        <v>0</v>
      </c>
      <c r="J399" s="1">
        <f>SUMIF($A:$A,A399,$G:$G)</f>
        <v>3</v>
      </c>
      <c r="K399" s="1"/>
    </row>
    <row r="400" spans="1:11" ht="32.1" customHeight="1">
      <c r="A400" s="1">
        <v>130</v>
      </c>
      <c r="B400" s="7">
        <v>46447</v>
      </c>
      <c r="C400" s="1">
        <v>3</v>
      </c>
      <c r="D400" s="1" t="s">
        <v>1445</v>
      </c>
      <c r="E400" s="1" t="s">
        <v>420</v>
      </c>
      <c r="F400" s="8" t="s">
        <v>1446</v>
      </c>
      <c r="G400" s="1">
        <v>1</v>
      </c>
      <c r="H400" s="1" t="str">
        <f>IFERROR(_xlfn.SINGLE(_xlfn.XLOOKUP(D400, 'Task Plan'!$A:$A, 'Task Plan'!$K:$K)), "")</f>
        <v>Not Started</v>
      </c>
      <c r="I400" s="6">
        <f>IFERROR(_xlfn.SINGLE(_xlfn.XLOOKUP(D400, 'Task Plan'!$A:$A, 'Task Plan'!$L:$L)), 0)</f>
        <v>0</v>
      </c>
      <c r="J400" s="1">
        <f>SUMIF($A:$A,A400,$G:$G)</f>
        <v>3</v>
      </c>
      <c r="K400" s="1"/>
    </row>
    <row r="401" spans="1:11" ht="32.1" customHeight="1">
      <c r="A401" s="1">
        <v>131</v>
      </c>
      <c r="B401" s="7">
        <v>46448</v>
      </c>
      <c r="C401" s="1">
        <v>3</v>
      </c>
      <c r="D401" s="1" t="s">
        <v>1445</v>
      </c>
      <c r="E401" s="1" t="s">
        <v>420</v>
      </c>
      <c r="F401" s="8" t="s">
        <v>1446</v>
      </c>
      <c r="G401" s="1">
        <v>1</v>
      </c>
      <c r="H401" s="1" t="str">
        <f>IFERROR(_xlfn.SINGLE(_xlfn.XLOOKUP(D401, 'Task Plan'!$A:$A, 'Task Plan'!$K:$K)), "")</f>
        <v>Not Started</v>
      </c>
      <c r="I401" s="6">
        <f>IFERROR(_xlfn.SINGLE(_xlfn.XLOOKUP(D401, 'Task Plan'!$A:$A, 'Task Plan'!$L:$L)), 0)</f>
        <v>0</v>
      </c>
      <c r="J401" s="1">
        <f>SUMIF($A:$A,A401,$G:$G)</f>
        <v>3</v>
      </c>
      <c r="K401" s="1"/>
    </row>
    <row r="402" spans="1:11" ht="32.1" customHeight="1">
      <c r="A402" s="1">
        <v>131</v>
      </c>
      <c r="B402" s="7">
        <v>46448</v>
      </c>
      <c r="C402" s="1">
        <v>3</v>
      </c>
      <c r="D402" s="1" t="s">
        <v>1447</v>
      </c>
      <c r="E402" s="1" t="s">
        <v>420</v>
      </c>
      <c r="F402" s="8" t="s">
        <v>1448</v>
      </c>
      <c r="G402" s="1">
        <v>1</v>
      </c>
      <c r="H402" s="1" t="str">
        <f>IFERROR(_xlfn.SINGLE(_xlfn.XLOOKUP(D402, 'Task Plan'!$A:$A, 'Task Plan'!$K:$K)), "")</f>
        <v>Not Started</v>
      </c>
      <c r="I402" s="6">
        <f>IFERROR(_xlfn.SINGLE(_xlfn.XLOOKUP(D402, 'Task Plan'!$A:$A, 'Task Plan'!$L:$L)), 0)</f>
        <v>0</v>
      </c>
      <c r="J402" s="1">
        <f>SUMIF($A:$A,A402,$G:$G)</f>
        <v>3</v>
      </c>
      <c r="K402" s="1"/>
    </row>
    <row r="403" spans="1:11" ht="32.1" customHeight="1">
      <c r="A403" s="1">
        <v>131</v>
      </c>
      <c r="B403" s="7">
        <v>46448</v>
      </c>
      <c r="C403" s="1">
        <v>3</v>
      </c>
      <c r="D403" s="1" t="s">
        <v>1450</v>
      </c>
      <c r="E403" s="1" t="s">
        <v>420</v>
      </c>
      <c r="F403" s="8" t="s">
        <v>1451</v>
      </c>
      <c r="G403" s="1">
        <v>0.5</v>
      </c>
      <c r="H403" s="1" t="str">
        <f>IFERROR(_xlfn.SINGLE(_xlfn.XLOOKUP(D403, 'Task Plan'!$A:$A, 'Task Plan'!$K:$K)), "")</f>
        <v>Not Started</v>
      </c>
      <c r="I403" s="6">
        <f>IFERROR(_xlfn.SINGLE(_xlfn.XLOOKUP(D403, 'Task Plan'!$A:$A, 'Task Plan'!$L:$L)), 0)</f>
        <v>0</v>
      </c>
      <c r="J403" s="1">
        <f>SUMIF($A:$A,A403,$G:$G)</f>
        <v>3</v>
      </c>
      <c r="K403" s="1"/>
    </row>
    <row r="404" spans="1:11" ht="32.1" customHeight="1">
      <c r="A404" s="1">
        <v>131</v>
      </c>
      <c r="B404" s="7">
        <v>46448</v>
      </c>
      <c r="C404" s="1">
        <v>3</v>
      </c>
      <c r="D404" s="1" t="s">
        <v>1453</v>
      </c>
      <c r="E404" s="1" t="s">
        <v>420</v>
      </c>
      <c r="F404" s="8" t="s">
        <v>1454</v>
      </c>
      <c r="G404" s="1">
        <v>0.5</v>
      </c>
      <c r="H404" s="1" t="str">
        <f>IFERROR(_xlfn.SINGLE(_xlfn.XLOOKUP(D404, 'Task Plan'!$A:$A, 'Task Plan'!$K:$K)), "")</f>
        <v>Not Started</v>
      </c>
      <c r="I404" s="6">
        <f>IFERROR(_xlfn.SINGLE(_xlfn.XLOOKUP(D404, 'Task Plan'!$A:$A, 'Task Plan'!$L:$L)), 0)</f>
        <v>0</v>
      </c>
      <c r="J404" s="1">
        <f>SUMIF($A:$A,A404,$G:$G)</f>
        <v>3</v>
      </c>
      <c r="K404" s="1"/>
    </row>
    <row r="405" spans="1:11" ht="32.1" customHeight="1">
      <c r="A405" s="1">
        <v>132</v>
      </c>
      <c r="B405" s="7">
        <v>46449</v>
      </c>
      <c r="C405" s="1">
        <v>2</v>
      </c>
      <c r="D405" s="1" t="s">
        <v>1453</v>
      </c>
      <c r="E405" s="1" t="s">
        <v>420</v>
      </c>
      <c r="F405" s="8" t="s">
        <v>1454</v>
      </c>
      <c r="G405" s="1">
        <v>0.5</v>
      </c>
      <c r="H405" s="1" t="str">
        <f>IFERROR(_xlfn.SINGLE(_xlfn.XLOOKUP(D405, 'Task Plan'!$A:$A, 'Task Plan'!$K:$K)), "")</f>
        <v>Not Started</v>
      </c>
      <c r="I405" s="6">
        <f>IFERROR(_xlfn.SINGLE(_xlfn.XLOOKUP(D405, 'Task Plan'!$A:$A, 'Task Plan'!$L:$L)), 0)</f>
        <v>0</v>
      </c>
      <c r="J405" s="1">
        <f>SUMIF($A:$A,A405,$G:$G)</f>
        <v>2</v>
      </c>
      <c r="K405" s="1"/>
    </row>
    <row r="406" spans="1:11" ht="32.1" customHeight="1">
      <c r="A406" s="1">
        <v>132</v>
      </c>
      <c r="B406" s="7">
        <v>46449</v>
      </c>
      <c r="C406" s="1">
        <v>2</v>
      </c>
      <c r="D406" s="1" t="s">
        <v>1456</v>
      </c>
      <c r="E406" s="1" t="s">
        <v>420</v>
      </c>
      <c r="F406" s="8" t="s">
        <v>1457</v>
      </c>
      <c r="G406" s="1">
        <v>0.5</v>
      </c>
      <c r="H406" s="1" t="str">
        <f>IFERROR(_xlfn.SINGLE(_xlfn.XLOOKUP(D406, 'Task Plan'!$A:$A, 'Task Plan'!$K:$K)), "")</f>
        <v>Not Started</v>
      </c>
      <c r="I406" s="6">
        <f>IFERROR(_xlfn.SINGLE(_xlfn.XLOOKUP(D406, 'Task Plan'!$A:$A, 'Task Plan'!$L:$L)), 0)</f>
        <v>0</v>
      </c>
      <c r="J406" s="1">
        <f>SUMIF($A:$A,A406,$G:$G)</f>
        <v>2</v>
      </c>
      <c r="K406" s="1"/>
    </row>
    <row r="407" spans="1:11" ht="32.1" customHeight="1">
      <c r="A407" s="1">
        <v>132</v>
      </c>
      <c r="B407" s="7">
        <v>46449</v>
      </c>
      <c r="C407" s="1">
        <v>2</v>
      </c>
      <c r="D407" s="1" t="s">
        <v>1459</v>
      </c>
      <c r="E407" s="1" t="s">
        <v>420</v>
      </c>
      <c r="F407" s="8" t="s">
        <v>1460</v>
      </c>
      <c r="G407" s="1">
        <v>1</v>
      </c>
      <c r="H407" s="1" t="str">
        <f>IFERROR(_xlfn.SINGLE(_xlfn.XLOOKUP(D407, 'Task Plan'!$A:$A, 'Task Plan'!$K:$K)), "")</f>
        <v>Not Started</v>
      </c>
      <c r="I407" s="6">
        <f>IFERROR(_xlfn.SINGLE(_xlfn.XLOOKUP(D407, 'Task Plan'!$A:$A, 'Task Plan'!$L:$L)), 0)</f>
        <v>0</v>
      </c>
      <c r="J407" s="1">
        <f>SUMIF($A:$A,A407,$G:$G)</f>
        <v>2</v>
      </c>
      <c r="K407" s="1"/>
    </row>
    <row r="408" spans="1:11" ht="32.1" customHeight="1">
      <c r="A408" s="1">
        <v>133</v>
      </c>
      <c r="B408" s="7">
        <v>46450</v>
      </c>
      <c r="C408" s="1">
        <v>2.5</v>
      </c>
      <c r="D408" s="1" t="s">
        <v>1461</v>
      </c>
      <c r="E408" s="1" t="s">
        <v>420</v>
      </c>
      <c r="F408" s="8" t="s">
        <v>1462</v>
      </c>
      <c r="G408" s="1">
        <v>1</v>
      </c>
      <c r="H408" s="1" t="str">
        <f>IFERROR(_xlfn.SINGLE(_xlfn.XLOOKUP(D408, 'Task Plan'!$A:$A, 'Task Plan'!$K:$K)), "")</f>
        <v>Not Started</v>
      </c>
      <c r="I408" s="6">
        <f>IFERROR(_xlfn.SINGLE(_xlfn.XLOOKUP(D408, 'Task Plan'!$A:$A, 'Task Plan'!$L:$L)), 0)</f>
        <v>0</v>
      </c>
      <c r="J408" s="1">
        <f>SUMIF($A:$A,A408,$G:$G)</f>
        <v>2.5</v>
      </c>
      <c r="K408" s="1"/>
    </row>
    <row r="409" spans="1:11" ht="32.1" customHeight="1">
      <c r="A409" s="1">
        <v>133</v>
      </c>
      <c r="B409" s="7">
        <v>46450</v>
      </c>
      <c r="C409" s="1">
        <v>2.5</v>
      </c>
      <c r="D409" s="1" t="s">
        <v>1464</v>
      </c>
      <c r="E409" s="1" t="s">
        <v>420</v>
      </c>
      <c r="F409" s="8" t="s">
        <v>1465</v>
      </c>
      <c r="G409" s="1">
        <v>0.5</v>
      </c>
      <c r="H409" s="1" t="str">
        <f>IFERROR(_xlfn.SINGLE(_xlfn.XLOOKUP(D409, 'Task Plan'!$A:$A, 'Task Plan'!$K:$K)), "")</f>
        <v>Not Started</v>
      </c>
      <c r="I409" s="6">
        <f>IFERROR(_xlfn.SINGLE(_xlfn.XLOOKUP(D409, 'Task Plan'!$A:$A, 'Task Plan'!$L:$L)), 0)</f>
        <v>0</v>
      </c>
      <c r="J409" s="1">
        <f>SUMIF($A:$A,A409,$G:$G)</f>
        <v>2.5</v>
      </c>
      <c r="K409" s="1"/>
    </row>
    <row r="410" spans="1:11" ht="32.1" customHeight="1">
      <c r="A410" s="1">
        <v>133</v>
      </c>
      <c r="B410" s="7">
        <v>46450</v>
      </c>
      <c r="C410" s="1">
        <v>2.5</v>
      </c>
      <c r="D410" s="1" t="s">
        <v>1467</v>
      </c>
      <c r="E410" s="1" t="s">
        <v>420</v>
      </c>
      <c r="F410" s="8" t="s">
        <v>1468</v>
      </c>
      <c r="G410" s="1">
        <v>0.5</v>
      </c>
      <c r="H410" s="1" t="str">
        <f>IFERROR(_xlfn.SINGLE(_xlfn.XLOOKUP(D410, 'Task Plan'!$A:$A, 'Task Plan'!$K:$K)), "")</f>
        <v>Not Started</v>
      </c>
      <c r="I410" s="6">
        <f>IFERROR(_xlfn.SINGLE(_xlfn.XLOOKUP(D410, 'Task Plan'!$A:$A, 'Task Plan'!$L:$L)), 0)</f>
        <v>0</v>
      </c>
      <c r="J410" s="1">
        <f>SUMIF($A:$A,A410,$G:$G)</f>
        <v>2.5</v>
      </c>
      <c r="K410" s="1"/>
    </row>
    <row r="411" spans="1:11" ht="32.1" customHeight="1">
      <c r="A411" s="1">
        <v>133</v>
      </c>
      <c r="B411" s="7">
        <v>46450</v>
      </c>
      <c r="C411" s="1">
        <v>2.5</v>
      </c>
      <c r="D411" s="1" t="s">
        <v>1470</v>
      </c>
      <c r="E411" s="1" t="s">
        <v>420</v>
      </c>
      <c r="F411" s="8" t="s">
        <v>1471</v>
      </c>
      <c r="G411" s="1">
        <v>0.5</v>
      </c>
      <c r="H411" s="1" t="str">
        <f>IFERROR(_xlfn.SINGLE(_xlfn.XLOOKUP(D411, 'Task Plan'!$A:$A, 'Task Plan'!$K:$K)), "")</f>
        <v>Not Started</v>
      </c>
      <c r="I411" s="6">
        <f>IFERROR(_xlfn.SINGLE(_xlfn.XLOOKUP(D411, 'Task Plan'!$A:$A, 'Task Plan'!$L:$L)), 0)</f>
        <v>0</v>
      </c>
      <c r="J411" s="1">
        <f>SUMIF($A:$A,A411,$G:$G)</f>
        <v>2.5</v>
      </c>
      <c r="K411" s="1"/>
    </row>
    <row r="412" spans="1:11" ht="32.1" customHeight="1">
      <c r="A412" s="1">
        <v>134</v>
      </c>
      <c r="B412" s="7">
        <v>46451</v>
      </c>
      <c r="C412" s="1">
        <v>2</v>
      </c>
      <c r="D412" s="1" t="s">
        <v>1470</v>
      </c>
      <c r="E412" s="1" t="s">
        <v>420</v>
      </c>
      <c r="F412" s="8" t="s">
        <v>1471</v>
      </c>
      <c r="G412" s="1">
        <v>0.5</v>
      </c>
      <c r="H412" s="1" t="str">
        <f>IFERROR(_xlfn.SINGLE(_xlfn.XLOOKUP(D412, 'Task Plan'!$A:$A, 'Task Plan'!$K:$K)), "")</f>
        <v>Not Started</v>
      </c>
      <c r="I412" s="6">
        <f>IFERROR(_xlfn.SINGLE(_xlfn.XLOOKUP(D412, 'Task Plan'!$A:$A, 'Task Plan'!$L:$L)), 0)</f>
        <v>0</v>
      </c>
      <c r="J412" s="1">
        <f>SUMIF($A:$A,A412,$G:$G)</f>
        <v>2</v>
      </c>
      <c r="K412" s="1"/>
    </row>
    <row r="413" spans="1:11" ht="32.1" customHeight="1">
      <c r="A413" s="1">
        <v>134</v>
      </c>
      <c r="B413" s="7">
        <v>46451</v>
      </c>
      <c r="C413" s="1">
        <v>2</v>
      </c>
      <c r="D413" s="1" t="s">
        <v>1473</v>
      </c>
      <c r="E413" s="1" t="s">
        <v>420</v>
      </c>
      <c r="F413" s="8" t="s">
        <v>1474</v>
      </c>
      <c r="G413" s="1">
        <v>1</v>
      </c>
      <c r="H413" s="1" t="str">
        <f>IFERROR(_xlfn.SINGLE(_xlfn.XLOOKUP(D413, 'Task Plan'!$A:$A, 'Task Plan'!$K:$K)), "")</f>
        <v>Not Started</v>
      </c>
      <c r="I413" s="6">
        <f>IFERROR(_xlfn.SINGLE(_xlfn.XLOOKUP(D413, 'Task Plan'!$A:$A, 'Task Plan'!$L:$L)), 0)</f>
        <v>0</v>
      </c>
      <c r="J413" s="1">
        <f>SUMIF($A:$A,A413,$G:$G)</f>
        <v>2</v>
      </c>
      <c r="K413" s="1"/>
    </row>
    <row r="414" spans="1:11" ht="32.1" customHeight="1">
      <c r="A414" s="1">
        <v>134</v>
      </c>
      <c r="B414" s="7">
        <v>46451</v>
      </c>
      <c r="C414" s="1">
        <v>2</v>
      </c>
      <c r="D414" s="1" t="s">
        <v>1475</v>
      </c>
      <c r="E414" s="1" t="s">
        <v>420</v>
      </c>
      <c r="F414" s="8" t="s">
        <v>1476</v>
      </c>
      <c r="G414" s="1">
        <v>0.5</v>
      </c>
      <c r="H414" s="1" t="str">
        <f>IFERROR(_xlfn.SINGLE(_xlfn.XLOOKUP(D414, 'Task Plan'!$A:$A, 'Task Plan'!$K:$K)), "")</f>
        <v>Not Started</v>
      </c>
      <c r="I414" s="6">
        <f>IFERROR(_xlfn.SINGLE(_xlfn.XLOOKUP(D414, 'Task Plan'!$A:$A, 'Task Plan'!$L:$L)), 0)</f>
        <v>0</v>
      </c>
      <c r="J414" s="1">
        <f>SUMIF($A:$A,A414,$G:$G)</f>
        <v>2</v>
      </c>
      <c r="K414" s="1"/>
    </row>
    <row r="415" spans="1:11" ht="32.1" customHeight="1">
      <c r="A415" s="1">
        <v>135</v>
      </c>
      <c r="B415" s="7">
        <v>46454</v>
      </c>
      <c r="C415" s="1">
        <v>3</v>
      </c>
      <c r="D415" s="1" t="s">
        <v>1475</v>
      </c>
      <c r="E415" s="1" t="s">
        <v>420</v>
      </c>
      <c r="F415" s="8" t="s">
        <v>1476</v>
      </c>
      <c r="G415" s="1">
        <v>0.5</v>
      </c>
      <c r="H415" s="1" t="str">
        <f>IFERROR(_xlfn.SINGLE(_xlfn.XLOOKUP(D415, 'Task Plan'!$A:$A, 'Task Plan'!$K:$K)), "")</f>
        <v>Not Started</v>
      </c>
      <c r="I415" s="6">
        <f>IFERROR(_xlfn.SINGLE(_xlfn.XLOOKUP(D415, 'Task Plan'!$A:$A, 'Task Plan'!$L:$L)), 0)</f>
        <v>0</v>
      </c>
      <c r="J415" s="1">
        <f>SUMIF($A:$A,A415,$G:$G)</f>
        <v>3</v>
      </c>
      <c r="K415" s="1"/>
    </row>
    <row r="416" spans="1:11" ht="32.1" customHeight="1">
      <c r="A416" s="1">
        <v>135</v>
      </c>
      <c r="B416" s="7">
        <v>46454</v>
      </c>
      <c r="C416" s="1">
        <v>3</v>
      </c>
      <c r="D416" s="1" t="s">
        <v>1478</v>
      </c>
      <c r="E416" s="1" t="s">
        <v>420</v>
      </c>
      <c r="F416" s="8" t="s">
        <v>1479</v>
      </c>
      <c r="G416" s="1">
        <v>0.5</v>
      </c>
      <c r="H416" s="1" t="str">
        <f>IFERROR(_xlfn.SINGLE(_xlfn.XLOOKUP(D416, 'Task Plan'!$A:$A, 'Task Plan'!$K:$K)), "")</f>
        <v>Not Started</v>
      </c>
      <c r="I416" s="6">
        <f>IFERROR(_xlfn.SINGLE(_xlfn.XLOOKUP(D416, 'Task Plan'!$A:$A, 'Task Plan'!$L:$L)), 0)</f>
        <v>0</v>
      </c>
      <c r="J416" s="1">
        <f>SUMIF($A:$A,A416,$G:$G)</f>
        <v>3</v>
      </c>
      <c r="K416" s="1"/>
    </row>
    <row r="417" spans="1:11" ht="32.1" customHeight="1">
      <c r="A417" s="1">
        <v>135</v>
      </c>
      <c r="B417" s="7">
        <v>46454</v>
      </c>
      <c r="C417" s="1">
        <v>3</v>
      </c>
      <c r="D417" s="1" t="s">
        <v>1481</v>
      </c>
      <c r="E417" s="1" t="s">
        <v>420</v>
      </c>
      <c r="F417" s="8" t="s">
        <v>1482</v>
      </c>
      <c r="G417" s="1">
        <v>1</v>
      </c>
      <c r="H417" s="1" t="str">
        <f>IFERROR(_xlfn.SINGLE(_xlfn.XLOOKUP(D417, 'Task Plan'!$A:$A, 'Task Plan'!$K:$K)), "")</f>
        <v>Not Started</v>
      </c>
      <c r="I417" s="6">
        <f>IFERROR(_xlfn.SINGLE(_xlfn.XLOOKUP(D417, 'Task Plan'!$A:$A, 'Task Plan'!$L:$L)), 0)</f>
        <v>0</v>
      </c>
      <c r="J417" s="1">
        <f>SUMIF($A:$A,A417,$G:$G)</f>
        <v>3</v>
      </c>
      <c r="K417" s="1"/>
    </row>
    <row r="418" spans="1:11" ht="32.1" customHeight="1">
      <c r="A418" s="1">
        <v>135</v>
      </c>
      <c r="B418" s="7">
        <v>46454</v>
      </c>
      <c r="C418" s="1">
        <v>3</v>
      </c>
      <c r="D418" s="1" t="s">
        <v>1484</v>
      </c>
      <c r="E418" s="1" t="s">
        <v>420</v>
      </c>
      <c r="F418" s="8" t="s">
        <v>1485</v>
      </c>
      <c r="G418" s="1">
        <v>0.5</v>
      </c>
      <c r="H418" s="1" t="str">
        <f>IFERROR(_xlfn.SINGLE(_xlfn.XLOOKUP(D418, 'Task Plan'!$A:$A, 'Task Plan'!$K:$K)), "")</f>
        <v>Not Started</v>
      </c>
      <c r="I418" s="6">
        <f>IFERROR(_xlfn.SINGLE(_xlfn.XLOOKUP(D418, 'Task Plan'!$A:$A, 'Task Plan'!$L:$L)), 0)</f>
        <v>0</v>
      </c>
      <c r="J418" s="1">
        <f>SUMIF($A:$A,A418,$G:$G)</f>
        <v>3</v>
      </c>
      <c r="K418" s="1"/>
    </row>
    <row r="419" spans="1:11" ht="32.1" customHeight="1">
      <c r="A419" s="1">
        <v>135</v>
      </c>
      <c r="B419" s="7">
        <v>46454</v>
      </c>
      <c r="C419" s="1">
        <v>3</v>
      </c>
      <c r="D419" s="1" t="s">
        <v>1487</v>
      </c>
      <c r="E419" s="1" t="s">
        <v>420</v>
      </c>
      <c r="F419" s="8" t="s">
        <v>1488</v>
      </c>
      <c r="G419" s="1">
        <v>0.5</v>
      </c>
      <c r="H419" s="1" t="str">
        <f>IFERROR(_xlfn.SINGLE(_xlfn.XLOOKUP(D419, 'Task Plan'!$A:$A, 'Task Plan'!$K:$K)), "")</f>
        <v>Not Started</v>
      </c>
      <c r="I419" s="6">
        <f>IFERROR(_xlfn.SINGLE(_xlfn.XLOOKUP(D419, 'Task Plan'!$A:$A, 'Task Plan'!$L:$L)), 0)</f>
        <v>0</v>
      </c>
      <c r="J419" s="1">
        <f>SUMIF($A:$A,A419,$G:$G)</f>
        <v>3</v>
      </c>
      <c r="K419" s="1"/>
    </row>
    <row r="420" spans="1:11" ht="32.1" customHeight="1">
      <c r="A420" s="1">
        <v>136</v>
      </c>
      <c r="B420" s="7">
        <v>46455</v>
      </c>
      <c r="C420" s="1">
        <v>2</v>
      </c>
      <c r="D420" s="1" t="s">
        <v>1487</v>
      </c>
      <c r="E420" s="1" t="s">
        <v>420</v>
      </c>
      <c r="F420" s="8" t="s">
        <v>1488</v>
      </c>
      <c r="G420" s="1">
        <v>1.5</v>
      </c>
      <c r="H420" s="1" t="str">
        <f>IFERROR(_xlfn.SINGLE(_xlfn.XLOOKUP(D420, 'Task Plan'!$A:$A, 'Task Plan'!$K:$K)), "")</f>
        <v>Not Started</v>
      </c>
      <c r="I420" s="6">
        <f>IFERROR(_xlfn.SINGLE(_xlfn.XLOOKUP(D420, 'Task Plan'!$A:$A, 'Task Plan'!$L:$L)), 0)</f>
        <v>0</v>
      </c>
      <c r="J420" s="1">
        <f>SUMIF($A:$A,A420,$G:$G)</f>
        <v>2</v>
      </c>
      <c r="K420" s="1"/>
    </row>
    <row r="421" spans="1:11" ht="32.1" customHeight="1">
      <c r="A421" s="1">
        <v>136</v>
      </c>
      <c r="B421" s="7">
        <v>46455</v>
      </c>
      <c r="C421" s="1">
        <v>2</v>
      </c>
      <c r="D421" s="1" t="s">
        <v>1489</v>
      </c>
      <c r="E421" s="1" t="s">
        <v>420</v>
      </c>
      <c r="F421" s="8" t="s">
        <v>1490</v>
      </c>
      <c r="G421" s="1">
        <v>0.5</v>
      </c>
      <c r="H421" s="1" t="str">
        <f>IFERROR(_xlfn.SINGLE(_xlfn.XLOOKUP(D421, 'Task Plan'!$A:$A, 'Task Plan'!$K:$K)), "")</f>
        <v>Not Started</v>
      </c>
      <c r="I421" s="6">
        <f>IFERROR(_xlfn.SINGLE(_xlfn.XLOOKUP(D421, 'Task Plan'!$A:$A, 'Task Plan'!$L:$L)), 0)</f>
        <v>0</v>
      </c>
      <c r="J421" s="1">
        <f>SUMIF($A:$A,A421,$G:$G)</f>
        <v>2</v>
      </c>
      <c r="K421" s="1"/>
    </row>
    <row r="422" spans="1:11" ht="32.1" customHeight="1">
      <c r="A422" s="1">
        <v>137</v>
      </c>
      <c r="B422" s="7">
        <v>46456</v>
      </c>
      <c r="C422" s="1">
        <v>2.5</v>
      </c>
      <c r="D422" s="1" t="s">
        <v>1489</v>
      </c>
      <c r="E422" s="1" t="s">
        <v>420</v>
      </c>
      <c r="F422" s="8" t="s">
        <v>1490</v>
      </c>
      <c r="G422" s="1">
        <v>0.5</v>
      </c>
      <c r="H422" s="1" t="str">
        <f>IFERROR(_xlfn.SINGLE(_xlfn.XLOOKUP(D422, 'Task Plan'!$A:$A, 'Task Plan'!$K:$K)), "")</f>
        <v>Not Started</v>
      </c>
      <c r="I422" s="6">
        <f>IFERROR(_xlfn.SINGLE(_xlfn.XLOOKUP(D422, 'Task Plan'!$A:$A, 'Task Plan'!$L:$L)), 0)</f>
        <v>0</v>
      </c>
      <c r="J422" s="1">
        <f>SUMIF($A:$A,A422,$G:$G)</f>
        <v>1</v>
      </c>
      <c r="K422" s="1"/>
    </row>
    <row r="423" spans="1:11" ht="32.1" customHeight="1">
      <c r="A423" s="1">
        <v>137</v>
      </c>
      <c r="B423" s="7">
        <v>46456</v>
      </c>
      <c r="C423" s="1">
        <v>2.5</v>
      </c>
      <c r="D423" s="1" t="s">
        <v>1492</v>
      </c>
      <c r="E423" s="1" t="s">
        <v>420</v>
      </c>
      <c r="F423" s="8" t="s">
        <v>1493</v>
      </c>
      <c r="G423" s="1">
        <v>0.5</v>
      </c>
      <c r="H423" s="1" t="str">
        <f>IFERROR(_xlfn.SINGLE(_xlfn.XLOOKUP(D423, 'Task Plan'!$A:$A, 'Task Plan'!$K:$K)), "")</f>
        <v>Not Started</v>
      </c>
      <c r="I423" s="6">
        <f>IFERROR(_xlfn.SINGLE(_xlfn.XLOOKUP(D423, 'Task Plan'!$A:$A, 'Task Plan'!$L:$L)), 0)</f>
        <v>0</v>
      </c>
      <c r="J423" s="1">
        <f>SUMIF($A:$A,A423,$G:$G)</f>
        <v>1</v>
      </c>
      <c r="K423" s="1"/>
    </row>
  </sheetData>
  <mergeCells count="1">
    <mergeCell ref="A1:K1"/>
  </mergeCells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9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25" customWidth="1"/>
    <col min="3" max="3" width="16" customWidth="1"/>
    <col min="4" max="4" width="30" customWidth="1"/>
    <col min="5" max="5" width="38" customWidth="1"/>
    <col min="6" max="6" width="42" customWidth="1"/>
    <col min="7" max="7" width="46" customWidth="1"/>
    <col min="8" max="8" width="11" customWidth="1"/>
    <col min="9" max="9" width="14" customWidth="1"/>
    <col min="10" max="10" width="35" customWidth="1"/>
    <col min="11" max="11" width="22" customWidth="1"/>
    <col min="12" max="12" width="30" customWidth="1"/>
  </cols>
  <sheetData>
    <row r="1" spans="1:12" ht="27.95" customHeight="1">
      <c r="A1" s="20" t="s">
        <v>1504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0" customHeight="1">
      <c r="A3" s="5" t="s">
        <v>1505</v>
      </c>
      <c r="B3" s="5" t="s">
        <v>43</v>
      </c>
      <c r="C3" s="5" t="s">
        <v>1506</v>
      </c>
      <c r="D3" s="5" t="s">
        <v>1507</v>
      </c>
      <c r="E3" s="5" t="s">
        <v>1508</v>
      </c>
      <c r="F3" s="5" t="s">
        <v>1509</v>
      </c>
      <c r="G3" s="5" t="s">
        <v>1510</v>
      </c>
      <c r="H3" s="5" t="s">
        <v>1511</v>
      </c>
      <c r="I3" s="5" t="s">
        <v>468</v>
      </c>
      <c r="J3" s="5" t="s">
        <v>1512</v>
      </c>
      <c r="K3" s="5" t="s">
        <v>1513</v>
      </c>
      <c r="L3" s="5" t="s">
        <v>1514</v>
      </c>
    </row>
    <row r="4" spans="1:12" ht="50.1" customHeight="1">
      <c r="A4" s="1" t="s">
        <v>1515</v>
      </c>
      <c r="B4" s="1" t="s">
        <v>51</v>
      </c>
      <c r="C4" s="1" t="s">
        <v>52</v>
      </c>
      <c r="D4" s="3" t="s">
        <v>53</v>
      </c>
      <c r="E4" s="3" t="s">
        <v>1516</v>
      </c>
      <c r="F4" s="3" t="s">
        <v>1517</v>
      </c>
      <c r="G4" s="3" t="s">
        <v>56</v>
      </c>
      <c r="H4" s="1" t="s">
        <v>1518</v>
      </c>
      <c r="I4" s="1" t="s">
        <v>1519</v>
      </c>
      <c r="J4" s="3"/>
      <c r="K4" s="1"/>
      <c r="L4" s="3"/>
    </row>
    <row r="5" spans="1:12" ht="50.1" customHeight="1">
      <c r="A5" s="1" t="s">
        <v>1520</v>
      </c>
      <c r="B5" s="1" t="s">
        <v>51</v>
      </c>
      <c r="C5" s="1" t="s">
        <v>59</v>
      </c>
      <c r="D5" s="3" t="s">
        <v>60</v>
      </c>
      <c r="E5" s="3" t="s">
        <v>1521</v>
      </c>
      <c r="F5" s="3" t="s">
        <v>1522</v>
      </c>
      <c r="G5" s="3" t="s">
        <v>62</v>
      </c>
      <c r="H5" s="1" t="s">
        <v>1518</v>
      </c>
      <c r="I5" s="1" t="s">
        <v>1519</v>
      </c>
      <c r="J5" s="3"/>
      <c r="K5" s="1"/>
      <c r="L5" s="3"/>
    </row>
    <row r="6" spans="1:12" ht="50.1" customHeight="1">
      <c r="A6" s="1" t="s">
        <v>1523</v>
      </c>
      <c r="B6" s="1" t="s">
        <v>51</v>
      </c>
      <c r="C6" s="1" t="s">
        <v>59</v>
      </c>
      <c r="D6" s="3" t="s">
        <v>65</v>
      </c>
      <c r="E6" s="3" t="s">
        <v>1524</v>
      </c>
      <c r="F6" s="3" t="s">
        <v>1525</v>
      </c>
      <c r="G6" s="3" t="s">
        <v>67</v>
      </c>
      <c r="H6" s="1" t="s">
        <v>1518</v>
      </c>
      <c r="I6" s="1" t="s">
        <v>1519</v>
      </c>
      <c r="J6" s="3"/>
      <c r="K6" s="1"/>
      <c r="L6" s="3"/>
    </row>
    <row r="7" spans="1:12" ht="50.1" customHeight="1">
      <c r="A7" s="1" t="s">
        <v>1526</v>
      </c>
      <c r="B7" s="1" t="s">
        <v>51</v>
      </c>
      <c r="C7" s="1" t="s">
        <v>59</v>
      </c>
      <c r="D7" s="3" t="s">
        <v>70</v>
      </c>
      <c r="E7" s="3" t="s">
        <v>1527</v>
      </c>
      <c r="F7" s="3" t="s">
        <v>1528</v>
      </c>
      <c r="G7" s="3" t="s">
        <v>72</v>
      </c>
      <c r="H7" s="1" t="s">
        <v>1518</v>
      </c>
      <c r="I7" s="1" t="s">
        <v>1519</v>
      </c>
      <c r="J7" s="3"/>
      <c r="K7" s="1"/>
      <c r="L7" s="3"/>
    </row>
    <row r="8" spans="1:12" ht="50.1" customHeight="1">
      <c r="A8" s="1" t="s">
        <v>1529</v>
      </c>
      <c r="B8" s="1" t="s">
        <v>51</v>
      </c>
      <c r="C8" s="1" t="s">
        <v>75</v>
      </c>
      <c r="D8" s="3" t="s">
        <v>76</v>
      </c>
      <c r="E8" s="3" t="s">
        <v>1530</v>
      </c>
      <c r="F8" s="3" t="s">
        <v>1531</v>
      </c>
      <c r="G8" s="3" t="s">
        <v>78</v>
      </c>
      <c r="H8" s="1" t="s">
        <v>1518</v>
      </c>
      <c r="I8" s="1" t="s">
        <v>1519</v>
      </c>
      <c r="J8" s="3"/>
      <c r="K8" s="1"/>
      <c r="L8" s="3"/>
    </row>
    <row r="9" spans="1:12" ht="50.1" customHeight="1">
      <c r="A9" s="1" t="s">
        <v>1532</v>
      </c>
      <c r="B9" s="1" t="s">
        <v>51</v>
      </c>
      <c r="C9" s="1" t="s">
        <v>75</v>
      </c>
      <c r="D9" s="3" t="s">
        <v>81</v>
      </c>
      <c r="E9" s="3" t="s">
        <v>1533</v>
      </c>
      <c r="F9" s="3" t="s">
        <v>1534</v>
      </c>
      <c r="G9" s="3" t="s">
        <v>83</v>
      </c>
      <c r="H9" s="1" t="s">
        <v>1518</v>
      </c>
      <c r="I9" s="1" t="s">
        <v>1519</v>
      </c>
      <c r="J9" s="3"/>
      <c r="K9" s="1"/>
      <c r="L9" s="3"/>
    </row>
    <row r="10" spans="1:12" ht="50.1" customHeight="1">
      <c r="A10" s="1" t="s">
        <v>1535</v>
      </c>
      <c r="B10" s="1" t="s">
        <v>51</v>
      </c>
      <c r="C10" s="1" t="s">
        <v>86</v>
      </c>
      <c r="D10" s="3" t="s">
        <v>87</v>
      </c>
      <c r="E10" s="3" t="s">
        <v>1536</v>
      </c>
      <c r="F10" s="3" t="s">
        <v>1537</v>
      </c>
      <c r="G10" s="3" t="s">
        <v>90</v>
      </c>
      <c r="H10" s="1" t="s">
        <v>1538</v>
      </c>
      <c r="I10" s="1" t="s">
        <v>1519</v>
      </c>
      <c r="J10" s="3"/>
      <c r="K10" s="1"/>
      <c r="L10" s="3"/>
    </row>
    <row r="11" spans="1:12" ht="50.1" customHeight="1">
      <c r="A11" s="1" t="s">
        <v>1539</v>
      </c>
      <c r="B11" s="1" t="s">
        <v>51</v>
      </c>
      <c r="C11" s="1" t="s">
        <v>93</v>
      </c>
      <c r="D11" s="3" t="s">
        <v>94</v>
      </c>
      <c r="E11" s="3" t="s">
        <v>1540</v>
      </c>
      <c r="F11" s="3" t="s">
        <v>1541</v>
      </c>
      <c r="G11" s="3" t="s">
        <v>96</v>
      </c>
      <c r="H11" s="1" t="s">
        <v>1518</v>
      </c>
      <c r="I11" s="1" t="s">
        <v>1519</v>
      </c>
      <c r="J11" s="3"/>
      <c r="K11" s="1"/>
      <c r="L11" s="3"/>
    </row>
    <row r="12" spans="1:12" ht="50.1" customHeight="1">
      <c r="A12" s="1" t="s">
        <v>1542</v>
      </c>
      <c r="B12" s="1" t="s">
        <v>51</v>
      </c>
      <c r="C12" s="1" t="s">
        <v>59</v>
      </c>
      <c r="D12" s="3" t="s">
        <v>99</v>
      </c>
      <c r="E12" s="3" t="s">
        <v>1543</v>
      </c>
      <c r="F12" s="3" t="s">
        <v>1544</v>
      </c>
      <c r="G12" s="3" t="s">
        <v>101</v>
      </c>
      <c r="H12" s="1" t="s">
        <v>1518</v>
      </c>
      <c r="I12" s="1" t="s">
        <v>1519</v>
      </c>
      <c r="J12" s="3"/>
      <c r="K12" s="1"/>
      <c r="L12" s="3"/>
    </row>
    <row r="13" spans="1:12" ht="50.1" customHeight="1">
      <c r="A13" s="1" t="s">
        <v>1545</v>
      </c>
      <c r="B13" s="1" t="s">
        <v>51</v>
      </c>
      <c r="C13" s="1" t="s">
        <v>104</v>
      </c>
      <c r="D13" s="3" t="s">
        <v>105</v>
      </c>
      <c r="E13" s="3" t="s">
        <v>1546</v>
      </c>
      <c r="F13" s="3" t="s">
        <v>1547</v>
      </c>
      <c r="G13" s="3" t="s">
        <v>107</v>
      </c>
      <c r="H13" s="1" t="s">
        <v>1538</v>
      </c>
      <c r="I13" s="1" t="s">
        <v>1519</v>
      </c>
      <c r="J13" s="3"/>
      <c r="K13" s="1"/>
      <c r="L13" s="3"/>
    </row>
    <row r="14" spans="1:12" ht="50.1" customHeight="1">
      <c r="A14" s="1" t="s">
        <v>1548</v>
      </c>
      <c r="B14" s="1" t="s">
        <v>110</v>
      </c>
      <c r="C14" s="1" t="s">
        <v>111</v>
      </c>
      <c r="D14" s="3" t="s">
        <v>112</v>
      </c>
      <c r="E14" s="3" t="s">
        <v>1549</v>
      </c>
      <c r="F14" s="3" t="s">
        <v>1550</v>
      </c>
      <c r="G14" s="3" t="s">
        <v>114</v>
      </c>
      <c r="H14" s="1" t="s">
        <v>1518</v>
      </c>
      <c r="I14" s="1" t="s">
        <v>1519</v>
      </c>
      <c r="J14" s="3"/>
      <c r="K14" s="1"/>
      <c r="L14" s="3"/>
    </row>
    <row r="15" spans="1:12" ht="50.1" customHeight="1">
      <c r="A15" s="1" t="s">
        <v>1551</v>
      </c>
      <c r="B15" s="1" t="s">
        <v>110</v>
      </c>
      <c r="C15" s="1" t="s">
        <v>111</v>
      </c>
      <c r="D15" s="3" t="s">
        <v>117</v>
      </c>
      <c r="E15" s="3" t="s">
        <v>1552</v>
      </c>
      <c r="F15" s="3" t="s">
        <v>1553</v>
      </c>
      <c r="G15" s="3" t="s">
        <v>119</v>
      </c>
      <c r="H15" s="1" t="s">
        <v>1518</v>
      </c>
      <c r="I15" s="1" t="s">
        <v>1519</v>
      </c>
      <c r="J15" s="3"/>
      <c r="K15" s="1"/>
      <c r="L15" s="3"/>
    </row>
    <row r="16" spans="1:12" ht="50.1" customHeight="1">
      <c r="A16" s="1" t="s">
        <v>1554</v>
      </c>
      <c r="B16" s="1" t="s">
        <v>110</v>
      </c>
      <c r="C16" s="1" t="s">
        <v>111</v>
      </c>
      <c r="D16" s="3" t="s">
        <v>122</v>
      </c>
      <c r="E16" s="3" t="s">
        <v>1555</v>
      </c>
      <c r="F16" s="3" t="s">
        <v>1556</v>
      </c>
      <c r="G16" s="3" t="s">
        <v>124</v>
      </c>
      <c r="H16" s="1" t="s">
        <v>1518</v>
      </c>
      <c r="I16" s="1" t="s">
        <v>1519</v>
      </c>
      <c r="J16" s="3"/>
      <c r="K16" s="1"/>
      <c r="L16" s="3"/>
    </row>
    <row r="17" spans="1:12" ht="50.1" customHeight="1">
      <c r="A17" s="1" t="s">
        <v>1557</v>
      </c>
      <c r="B17" s="1" t="s">
        <v>110</v>
      </c>
      <c r="C17" s="1" t="s">
        <v>111</v>
      </c>
      <c r="D17" s="3" t="s">
        <v>127</v>
      </c>
      <c r="E17" s="3" t="s">
        <v>1558</v>
      </c>
      <c r="F17" s="3" t="s">
        <v>1559</v>
      </c>
      <c r="G17" s="3" t="s">
        <v>129</v>
      </c>
      <c r="H17" s="1" t="s">
        <v>1518</v>
      </c>
      <c r="I17" s="1" t="s">
        <v>1519</v>
      </c>
      <c r="J17" s="3"/>
      <c r="K17" s="1"/>
      <c r="L17" s="3"/>
    </row>
    <row r="18" spans="1:12" ht="50.1" customHeight="1">
      <c r="A18" s="1" t="s">
        <v>1560</v>
      </c>
      <c r="B18" s="1" t="s">
        <v>110</v>
      </c>
      <c r="C18" s="1" t="s">
        <v>111</v>
      </c>
      <c r="D18" s="3" t="s">
        <v>132</v>
      </c>
      <c r="E18" s="3" t="s">
        <v>1561</v>
      </c>
      <c r="F18" s="3" t="s">
        <v>1562</v>
      </c>
      <c r="G18" s="3" t="s">
        <v>134</v>
      </c>
      <c r="H18" s="1" t="s">
        <v>1518</v>
      </c>
      <c r="I18" s="1" t="s">
        <v>1519</v>
      </c>
      <c r="J18" s="3"/>
      <c r="K18" s="1"/>
      <c r="L18" s="3"/>
    </row>
    <row r="19" spans="1:12" ht="50.1" customHeight="1">
      <c r="A19" s="1" t="s">
        <v>1563</v>
      </c>
      <c r="B19" s="1" t="s">
        <v>110</v>
      </c>
      <c r="C19" s="1" t="s">
        <v>111</v>
      </c>
      <c r="D19" s="3" t="s">
        <v>137</v>
      </c>
      <c r="E19" s="3" t="s">
        <v>1564</v>
      </c>
      <c r="F19" s="3" t="s">
        <v>1565</v>
      </c>
      <c r="G19" s="3" t="s">
        <v>139</v>
      </c>
      <c r="H19" s="1" t="s">
        <v>1518</v>
      </c>
      <c r="I19" s="1" t="s">
        <v>1519</v>
      </c>
      <c r="J19" s="3"/>
      <c r="K19" s="1"/>
      <c r="L19" s="3"/>
    </row>
    <row r="20" spans="1:12" ht="50.1" customHeight="1">
      <c r="A20" s="1" t="s">
        <v>1566</v>
      </c>
      <c r="B20" s="1" t="s">
        <v>110</v>
      </c>
      <c r="C20" s="1" t="s">
        <v>142</v>
      </c>
      <c r="D20" s="3" t="s">
        <v>143</v>
      </c>
      <c r="E20" s="3" t="s">
        <v>1567</v>
      </c>
      <c r="F20" s="3" t="s">
        <v>1568</v>
      </c>
      <c r="G20" s="3" t="s">
        <v>145</v>
      </c>
      <c r="H20" s="1" t="s">
        <v>1538</v>
      </c>
      <c r="I20" s="1" t="s">
        <v>1519</v>
      </c>
      <c r="J20" s="3"/>
      <c r="K20" s="1"/>
      <c r="L20" s="3"/>
    </row>
    <row r="21" spans="1:12" ht="50.1" customHeight="1">
      <c r="A21" s="1" t="s">
        <v>1569</v>
      </c>
      <c r="B21" s="1" t="s">
        <v>110</v>
      </c>
      <c r="C21" s="1" t="s">
        <v>93</v>
      </c>
      <c r="D21" s="3" t="s">
        <v>148</v>
      </c>
      <c r="E21" s="3" t="s">
        <v>1570</v>
      </c>
      <c r="F21" s="3" t="s">
        <v>1571</v>
      </c>
      <c r="G21" s="3" t="s">
        <v>150</v>
      </c>
      <c r="H21" s="1" t="s">
        <v>1518</v>
      </c>
      <c r="I21" s="1" t="s">
        <v>1519</v>
      </c>
      <c r="J21" s="3"/>
      <c r="K21" s="1"/>
      <c r="L21" s="3"/>
    </row>
    <row r="22" spans="1:12" ht="50.1" customHeight="1">
      <c r="A22" s="1" t="s">
        <v>1572</v>
      </c>
      <c r="B22" s="1" t="s">
        <v>153</v>
      </c>
      <c r="C22" s="1" t="s">
        <v>154</v>
      </c>
      <c r="D22" s="3" t="s">
        <v>155</v>
      </c>
      <c r="E22" s="3" t="s">
        <v>1573</v>
      </c>
      <c r="F22" s="3" t="s">
        <v>1574</v>
      </c>
      <c r="G22" s="3" t="s">
        <v>157</v>
      </c>
      <c r="H22" s="1" t="s">
        <v>1518</v>
      </c>
      <c r="I22" s="1" t="s">
        <v>1519</v>
      </c>
      <c r="J22" s="3"/>
      <c r="K22" s="1"/>
      <c r="L22" s="3"/>
    </row>
    <row r="23" spans="1:12" ht="50.1" customHeight="1">
      <c r="A23" s="1" t="s">
        <v>1575</v>
      </c>
      <c r="B23" s="1" t="s">
        <v>153</v>
      </c>
      <c r="C23" s="1" t="s">
        <v>160</v>
      </c>
      <c r="D23" s="3" t="s">
        <v>161</v>
      </c>
      <c r="E23" s="3" t="s">
        <v>1576</v>
      </c>
      <c r="F23" s="3" t="s">
        <v>1577</v>
      </c>
      <c r="G23" s="3" t="s">
        <v>163</v>
      </c>
      <c r="H23" s="1" t="s">
        <v>1518</v>
      </c>
      <c r="I23" s="1" t="s">
        <v>1519</v>
      </c>
      <c r="J23" s="3"/>
      <c r="K23" s="1"/>
      <c r="L23" s="3"/>
    </row>
    <row r="24" spans="1:12" ht="50.1" customHeight="1">
      <c r="A24" s="1" t="s">
        <v>1578</v>
      </c>
      <c r="B24" s="1" t="s">
        <v>153</v>
      </c>
      <c r="C24" s="1" t="s">
        <v>160</v>
      </c>
      <c r="D24" s="3" t="s">
        <v>166</v>
      </c>
      <c r="E24" s="3" t="s">
        <v>1579</v>
      </c>
      <c r="F24" s="3" t="s">
        <v>1580</v>
      </c>
      <c r="G24" s="3" t="s">
        <v>168</v>
      </c>
      <c r="H24" s="1" t="s">
        <v>1518</v>
      </c>
      <c r="I24" s="1" t="s">
        <v>1519</v>
      </c>
      <c r="J24" s="3"/>
      <c r="K24" s="1"/>
      <c r="L24" s="3"/>
    </row>
    <row r="25" spans="1:12" ht="50.1" customHeight="1">
      <c r="A25" s="1" t="s">
        <v>1581</v>
      </c>
      <c r="B25" s="1" t="s">
        <v>153</v>
      </c>
      <c r="C25" s="1" t="s">
        <v>160</v>
      </c>
      <c r="D25" s="3" t="s">
        <v>171</v>
      </c>
      <c r="E25" s="3" t="s">
        <v>1582</v>
      </c>
      <c r="F25" s="3" t="s">
        <v>1583</v>
      </c>
      <c r="G25" s="3" t="s">
        <v>173</v>
      </c>
      <c r="H25" s="1" t="s">
        <v>1518</v>
      </c>
      <c r="I25" s="1" t="s">
        <v>1519</v>
      </c>
      <c r="J25" s="3"/>
      <c r="K25" s="1"/>
      <c r="L25" s="3"/>
    </row>
    <row r="26" spans="1:12" ht="50.1" customHeight="1">
      <c r="A26" s="1" t="s">
        <v>1584</v>
      </c>
      <c r="B26" s="1" t="s">
        <v>153</v>
      </c>
      <c r="C26" s="1" t="s">
        <v>160</v>
      </c>
      <c r="D26" s="3" t="s">
        <v>176</v>
      </c>
      <c r="E26" s="3" t="s">
        <v>1585</v>
      </c>
      <c r="F26" s="3" t="s">
        <v>1586</v>
      </c>
      <c r="G26" s="3" t="s">
        <v>178</v>
      </c>
      <c r="H26" s="1" t="s">
        <v>1538</v>
      </c>
      <c r="I26" s="1" t="s">
        <v>1519</v>
      </c>
      <c r="J26" s="3"/>
      <c r="K26" s="1"/>
      <c r="L26" s="3"/>
    </row>
    <row r="27" spans="1:12" ht="50.1" customHeight="1">
      <c r="A27" s="1" t="s">
        <v>1587</v>
      </c>
      <c r="B27" s="1" t="s">
        <v>153</v>
      </c>
      <c r="C27" s="1" t="s">
        <v>160</v>
      </c>
      <c r="D27" s="3" t="s">
        <v>181</v>
      </c>
      <c r="E27" s="3" t="s">
        <v>1588</v>
      </c>
      <c r="F27" s="3" t="s">
        <v>1589</v>
      </c>
      <c r="G27" s="3" t="s">
        <v>183</v>
      </c>
      <c r="H27" s="1" t="s">
        <v>1538</v>
      </c>
      <c r="I27" s="1" t="s">
        <v>1519</v>
      </c>
      <c r="J27" s="3"/>
      <c r="K27" s="1"/>
      <c r="L27" s="3"/>
    </row>
    <row r="28" spans="1:12" ht="50.1" customHeight="1">
      <c r="A28" s="1" t="s">
        <v>1590</v>
      </c>
      <c r="B28" s="1" t="s">
        <v>153</v>
      </c>
      <c r="C28" s="1" t="s">
        <v>186</v>
      </c>
      <c r="D28" s="3" t="s">
        <v>187</v>
      </c>
      <c r="E28" s="3" t="s">
        <v>1591</v>
      </c>
      <c r="F28" s="3" t="s">
        <v>1592</v>
      </c>
      <c r="G28" s="3" t="s">
        <v>189</v>
      </c>
      <c r="H28" s="1" t="s">
        <v>1518</v>
      </c>
      <c r="I28" s="1" t="s">
        <v>1519</v>
      </c>
      <c r="J28" s="3"/>
      <c r="K28" s="1"/>
      <c r="L28" s="3"/>
    </row>
    <row r="29" spans="1:12" ht="50.1" customHeight="1">
      <c r="A29" s="1" t="s">
        <v>1593</v>
      </c>
      <c r="B29" s="1" t="s">
        <v>192</v>
      </c>
      <c r="C29" s="1" t="s">
        <v>193</v>
      </c>
      <c r="D29" s="3" t="s">
        <v>194</v>
      </c>
      <c r="E29" s="3" t="s">
        <v>1594</v>
      </c>
      <c r="F29" s="3" t="s">
        <v>1595</v>
      </c>
      <c r="G29" s="3" t="s">
        <v>196</v>
      </c>
      <c r="H29" s="1" t="s">
        <v>1518</v>
      </c>
      <c r="I29" s="1" t="s">
        <v>1519</v>
      </c>
      <c r="J29" s="3"/>
      <c r="K29" s="1"/>
      <c r="L29" s="3"/>
    </row>
    <row r="30" spans="1:12" ht="50.1" customHeight="1">
      <c r="A30" s="1" t="s">
        <v>1596</v>
      </c>
      <c r="B30" s="1" t="s">
        <v>192</v>
      </c>
      <c r="C30" s="1" t="s">
        <v>193</v>
      </c>
      <c r="D30" s="3" t="s">
        <v>199</v>
      </c>
      <c r="E30" s="3" t="s">
        <v>1597</v>
      </c>
      <c r="F30" s="3" t="s">
        <v>1598</v>
      </c>
      <c r="G30" s="3" t="s">
        <v>201</v>
      </c>
      <c r="H30" s="1" t="s">
        <v>1518</v>
      </c>
      <c r="I30" s="1" t="s">
        <v>1519</v>
      </c>
      <c r="J30" s="3"/>
      <c r="K30" s="1"/>
      <c r="L30" s="3"/>
    </row>
    <row r="31" spans="1:12" ht="50.1" customHeight="1">
      <c r="A31" s="1" t="s">
        <v>1599</v>
      </c>
      <c r="B31" s="1" t="s">
        <v>192</v>
      </c>
      <c r="C31" s="1" t="s">
        <v>193</v>
      </c>
      <c r="D31" s="3" t="s">
        <v>204</v>
      </c>
      <c r="E31" s="3" t="s">
        <v>1600</v>
      </c>
      <c r="F31" s="3" t="s">
        <v>1601</v>
      </c>
      <c r="G31" s="3" t="s">
        <v>206</v>
      </c>
      <c r="H31" s="1" t="s">
        <v>1518</v>
      </c>
      <c r="I31" s="1" t="s">
        <v>1519</v>
      </c>
      <c r="J31" s="3"/>
      <c r="K31" s="1"/>
      <c r="L31" s="3"/>
    </row>
    <row r="32" spans="1:12" ht="50.1" customHeight="1">
      <c r="A32" s="1" t="s">
        <v>1602</v>
      </c>
      <c r="B32" s="1" t="s">
        <v>192</v>
      </c>
      <c r="C32" s="1" t="s">
        <v>193</v>
      </c>
      <c r="D32" s="3" t="s">
        <v>209</v>
      </c>
      <c r="E32" s="3" t="s">
        <v>1603</v>
      </c>
      <c r="F32" s="3" t="s">
        <v>1604</v>
      </c>
      <c r="G32" s="3" t="s">
        <v>211</v>
      </c>
      <c r="H32" s="1" t="s">
        <v>1538</v>
      </c>
      <c r="I32" s="1" t="s">
        <v>1519</v>
      </c>
      <c r="J32" s="3"/>
      <c r="K32" s="1"/>
      <c r="L32" s="3"/>
    </row>
    <row r="33" spans="1:12" ht="50.1" customHeight="1">
      <c r="A33" s="1" t="s">
        <v>1605</v>
      </c>
      <c r="B33" s="1" t="s">
        <v>192</v>
      </c>
      <c r="C33" s="1" t="s">
        <v>193</v>
      </c>
      <c r="D33" s="3" t="s">
        <v>214</v>
      </c>
      <c r="E33" s="3" t="s">
        <v>1606</v>
      </c>
      <c r="F33" s="3" t="s">
        <v>1607</v>
      </c>
      <c r="G33" s="3" t="s">
        <v>216</v>
      </c>
      <c r="H33" s="1" t="s">
        <v>1518</v>
      </c>
      <c r="I33" s="1" t="s">
        <v>1519</v>
      </c>
      <c r="J33" s="3"/>
      <c r="K33" s="1"/>
      <c r="L33" s="3"/>
    </row>
    <row r="34" spans="1:12" ht="50.1" customHeight="1">
      <c r="A34" s="1" t="s">
        <v>1608</v>
      </c>
      <c r="B34" s="1" t="s">
        <v>192</v>
      </c>
      <c r="C34" s="1" t="s">
        <v>193</v>
      </c>
      <c r="D34" s="3" t="s">
        <v>219</v>
      </c>
      <c r="E34" s="3" t="s">
        <v>1609</v>
      </c>
      <c r="F34" s="3" t="s">
        <v>1610</v>
      </c>
      <c r="G34" s="3" t="s">
        <v>221</v>
      </c>
      <c r="H34" s="1" t="s">
        <v>1518</v>
      </c>
      <c r="I34" s="1" t="s">
        <v>1519</v>
      </c>
      <c r="J34" s="3"/>
      <c r="K34" s="1"/>
      <c r="L34" s="3"/>
    </row>
    <row r="35" spans="1:12" ht="50.1" customHeight="1">
      <c r="A35" s="1" t="s">
        <v>1611</v>
      </c>
      <c r="B35" s="1" t="s">
        <v>224</v>
      </c>
      <c r="C35" s="1" t="s">
        <v>154</v>
      </c>
      <c r="D35" s="3" t="s">
        <v>225</v>
      </c>
      <c r="E35" s="3" t="s">
        <v>1612</v>
      </c>
      <c r="F35" s="3" t="s">
        <v>1613</v>
      </c>
      <c r="G35" s="3" t="s">
        <v>227</v>
      </c>
      <c r="H35" s="1" t="s">
        <v>1518</v>
      </c>
      <c r="I35" s="1" t="s">
        <v>1519</v>
      </c>
      <c r="J35" s="3"/>
      <c r="K35" s="1"/>
      <c r="L35" s="3"/>
    </row>
    <row r="36" spans="1:12" ht="50.1" customHeight="1">
      <c r="A36" s="1" t="s">
        <v>1614</v>
      </c>
      <c r="B36" s="1" t="s">
        <v>224</v>
      </c>
      <c r="C36" s="1" t="s">
        <v>154</v>
      </c>
      <c r="D36" s="3" t="s">
        <v>230</v>
      </c>
      <c r="E36" s="3" t="s">
        <v>1615</v>
      </c>
      <c r="F36" s="3" t="s">
        <v>1616</v>
      </c>
      <c r="G36" s="3" t="s">
        <v>232</v>
      </c>
      <c r="H36" s="1" t="s">
        <v>1518</v>
      </c>
      <c r="I36" s="1" t="s">
        <v>1519</v>
      </c>
      <c r="J36" s="3"/>
      <c r="K36" s="1"/>
      <c r="L36" s="3"/>
    </row>
    <row r="37" spans="1:12" ht="50.1" customHeight="1">
      <c r="A37" s="1" t="s">
        <v>1617</v>
      </c>
      <c r="B37" s="1" t="s">
        <v>224</v>
      </c>
      <c r="C37" s="1" t="s">
        <v>160</v>
      </c>
      <c r="D37" s="3" t="s">
        <v>235</v>
      </c>
      <c r="E37" s="3" t="s">
        <v>1618</v>
      </c>
      <c r="F37" s="3" t="s">
        <v>1619</v>
      </c>
      <c r="G37" s="3" t="s">
        <v>237</v>
      </c>
      <c r="H37" s="1" t="s">
        <v>1518</v>
      </c>
      <c r="I37" s="1" t="s">
        <v>1519</v>
      </c>
      <c r="J37" s="3"/>
      <c r="K37" s="1"/>
      <c r="L37" s="3"/>
    </row>
    <row r="38" spans="1:12" ht="50.1" customHeight="1">
      <c r="A38" s="1" t="s">
        <v>1620</v>
      </c>
      <c r="B38" s="1" t="s">
        <v>224</v>
      </c>
      <c r="C38" s="1" t="s">
        <v>193</v>
      </c>
      <c r="D38" s="3" t="s">
        <v>240</v>
      </c>
      <c r="E38" s="3" t="s">
        <v>1621</v>
      </c>
      <c r="F38" s="3" t="s">
        <v>1622</v>
      </c>
      <c r="G38" s="3" t="s">
        <v>242</v>
      </c>
      <c r="H38" s="1" t="s">
        <v>1518</v>
      </c>
      <c r="I38" s="1" t="s">
        <v>1519</v>
      </c>
      <c r="J38" s="3"/>
      <c r="K38" s="1"/>
      <c r="L38" s="3"/>
    </row>
    <row r="39" spans="1:12" ht="50.1" customHeight="1">
      <c r="A39" s="1" t="s">
        <v>1623</v>
      </c>
      <c r="B39" s="1" t="s">
        <v>224</v>
      </c>
      <c r="C39" s="1" t="s">
        <v>193</v>
      </c>
      <c r="D39" s="3" t="s">
        <v>245</v>
      </c>
      <c r="E39" s="3" t="s">
        <v>1624</v>
      </c>
      <c r="F39" s="3" t="s">
        <v>1625</v>
      </c>
      <c r="G39" s="3" t="s">
        <v>247</v>
      </c>
      <c r="H39" s="1" t="s">
        <v>1518</v>
      </c>
      <c r="I39" s="1" t="s">
        <v>1519</v>
      </c>
      <c r="J39" s="3"/>
      <c r="K39" s="1"/>
      <c r="L39" s="3"/>
    </row>
    <row r="40" spans="1:12" ht="50.1" customHeight="1">
      <c r="A40" s="1" t="s">
        <v>1626</v>
      </c>
      <c r="B40" s="1" t="s">
        <v>224</v>
      </c>
      <c r="C40" s="1" t="s">
        <v>160</v>
      </c>
      <c r="D40" s="3" t="s">
        <v>250</v>
      </c>
      <c r="E40" s="3" t="s">
        <v>1627</v>
      </c>
      <c r="F40" s="3" t="s">
        <v>1628</v>
      </c>
      <c r="G40" s="3" t="s">
        <v>252</v>
      </c>
      <c r="H40" s="1" t="s">
        <v>1538</v>
      </c>
      <c r="I40" s="1" t="s">
        <v>1519</v>
      </c>
      <c r="J40" s="3"/>
      <c r="K40" s="1"/>
      <c r="L40" s="3"/>
    </row>
    <row r="41" spans="1:12" ht="50.1" customHeight="1">
      <c r="A41" s="1" t="s">
        <v>1629</v>
      </c>
      <c r="B41" s="1" t="s">
        <v>255</v>
      </c>
      <c r="C41" s="1" t="s">
        <v>160</v>
      </c>
      <c r="D41" s="3" t="s">
        <v>256</v>
      </c>
      <c r="E41" s="3" t="s">
        <v>1630</v>
      </c>
      <c r="F41" s="3" t="s">
        <v>1631</v>
      </c>
      <c r="G41" s="3" t="s">
        <v>258</v>
      </c>
      <c r="H41" s="1" t="s">
        <v>1518</v>
      </c>
      <c r="I41" s="1" t="s">
        <v>1519</v>
      </c>
      <c r="J41" s="3"/>
      <c r="K41" s="1"/>
      <c r="L41" s="3"/>
    </row>
    <row r="42" spans="1:12" ht="50.1" customHeight="1">
      <c r="A42" s="1" t="s">
        <v>1632</v>
      </c>
      <c r="B42" s="1" t="s">
        <v>255</v>
      </c>
      <c r="C42" s="1" t="s">
        <v>160</v>
      </c>
      <c r="D42" s="3" t="s">
        <v>261</v>
      </c>
      <c r="E42" s="3" t="s">
        <v>1633</v>
      </c>
      <c r="F42" s="3" t="s">
        <v>1634</v>
      </c>
      <c r="G42" s="3" t="s">
        <v>263</v>
      </c>
      <c r="H42" s="1" t="s">
        <v>1518</v>
      </c>
      <c r="I42" s="1" t="s">
        <v>1519</v>
      </c>
      <c r="J42" s="3"/>
      <c r="K42" s="1"/>
      <c r="L42" s="3"/>
    </row>
    <row r="43" spans="1:12" ht="50.1" customHeight="1">
      <c r="A43" s="1" t="s">
        <v>1635</v>
      </c>
      <c r="B43" s="1" t="s">
        <v>255</v>
      </c>
      <c r="C43" s="1" t="s">
        <v>160</v>
      </c>
      <c r="D43" s="3" t="s">
        <v>266</v>
      </c>
      <c r="E43" s="3" t="s">
        <v>1636</v>
      </c>
      <c r="F43" s="3" t="s">
        <v>1637</v>
      </c>
      <c r="G43" s="3" t="s">
        <v>268</v>
      </c>
      <c r="H43" s="1" t="s">
        <v>1518</v>
      </c>
      <c r="I43" s="1" t="s">
        <v>1519</v>
      </c>
      <c r="J43" s="3"/>
      <c r="K43" s="1"/>
      <c r="L43" s="3"/>
    </row>
    <row r="44" spans="1:12" ht="50.1" customHeight="1">
      <c r="A44" s="1" t="s">
        <v>1638</v>
      </c>
      <c r="B44" s="1" t="s">
        <v>255</v>
      </c>
      <c r="C44" s="1" t="s">
        <v>111</v>
      </c>
      <c r="D44" s="3" t="s">
        <v>271</v>
      </c>
      <c r="E44" s="3" t="s">
        <v>1639</v>
      </c>
      <c r="F44" s="3" t="s">
        <v>1640</v>
      </c>
      <c r="G44" s="3" t="s">
        <v>273</v>
      </c>
      <c r="H44" s="1" t="s">
        <v>1538</v>
      </c>
      <c r="I44" s="1" t="s">
        <v>1519</v>
      </c>
      <c r="J44" s="3"/>
      <c r="K44" s="1"/>
      <c r="L44" s="3"/>
    </row>
    <row r="45" spans="1:12" ht="50.1" customHeight="1">
      <c r="A45" s="1" t="s">
        <v>1641</v>
      </c>
      <c r="B45" s="1" t="s">
        <v>255</v>
      </c>
      <c r="C45" s="1" t="s">
        <v>154</v>
      </c>
      <c r="D45" s="3" t="s">
        <v>276</v>
      </c>
      <c r="E45" s="3" t="s">
        <v>1642</v>
      </c>
      <c r="F45" s="3" t="s">
        <v>1643</v>
      </c>
      <c r="G45" s="3" t="s">
        <v>278</v>
      </c>
      <c r="H45" s="1" t="s">
        <v>1538</v>
      </c>
      <c r="I45" s="1" t="s">
        <v>1519</v>
      </c>
      <c r="J45" s="3"/>
      <c r="K45" s="1"/>
      <c r="L45" s="3"/>
    </row>
    <row r="46" spans="1:12" ht="50.1" customHeight="1">
      <c r="A46" s="1" t="s">
        <v>1644</v>
      </c>
      <c r="B46" s="1" t="s">
        <v>281</v>
      </c>
      <c r="C46" s="1" t="s">
        <v>282</v>
      </c>
      <c r="D46" s="3" t="s">
        <v>283</v>
      </c>
      <c r="E46" s="3" t="s">
        <v>1645</v>
      </c>
      <c r="F46" s="3" t="s">
        <v>1646</v>
      </c>
      <c r="G46" s="3" t="s">
        <v>285</v>
      </c>
      <c r="H46" s="1" t="s">
        <v>1518</v>
      </c>
      <c r="I46" s="1" t="s">
        <v>1519</v>
      </c>
      <c r="J46" s="3"/>
      <c r="K46" s="1"/>
      <c r="L46" s="3"/>
    </row>
    <row r="47" spans="1:12" ht="50.1" customHeight="1">
      <c r="A47" s="1" t="s">
        <v>1647</v>
      </c>
      <c r="B47" s="1" t="s">
        <v>281</v>
      </c>
      <c r="C47" s="1" t="s">
        <v>288</v>
      </c>
      <c r="D47" s="3" t="s">
        <v>289</v>
      </c>
      <c r="E47" s="3" t="s">
        <v>1648</v>
      </c>
      <c r="F47" s="3" t="s">
        <v>1649</v>
      </c>
      <c r="G47" s="3" t="s">
        <v>291</v>
      </c>
      <c r="H47" s="1" t="s">
        <v>1518</v>
      </c>
      <c r="I47" s="1" t="s">
        <v>1519</v>
      </c>
      <c r="J47" s="3"/>
      <c r="K47" s="1"/>
      <c r="L47" s="3"/>
    </row>
    <row r="48" spans="1:12" ht="50.1" customHeight="1">
      <c r="A48" s="1" t="s">
        <v>1650</v>
      </c>
      <c r="B48" s="1" t="s">
        <v>281</v>
      </c>
      <c r="C48" s="1" t="s">
        <v>282</v>
      </c>
      <c r="D48" s="3" t="s">
        <v>294</v>
      </c>
      <c r="E48" s="3" t="s">
        <v>1651</v>
      </c>
      <c r="F48" s="3" t="s">
        <v>1652</v>
      </c>
      <c r="G48" s="3" t="s">
        <v>296</v>
      </c>
      <c r="H48" s="1" t="s">
        <v>1518</v>
      </c>
      <c r="I48" s="1" t="s">
        <v>1519</v>
      </c>
      <c r="J48" s="3"/>
      <c r="K48" s="1"/>
      <c r="L48" s="3"/>
    </row>
    <row r="49" spans="1:12" ht="50.1" customHeight="1">
      <c r="A49" s="1" t="s">
        <v>1653</v>
      </c>
      <c r="B49" s="1" t="s">
        <v>281</v>
      </c>
      <c r="C49" s="1" t="s">
        <v>299</v>
      </c>
      <c r="D49" s="3" t="s">
        <v>300</v>
      </c>
      <c r="E49" s="3" t="s">
        <v>1654</v>
      </c>
      <c r="F49" s="3" t="s">
        <v>1655</v>
      </c>
      <c r="G49" s="3" t="s">
        <v>302</v>
      </c>
      <c r="H49" s="1" t="s">
        <v>1518</v>
      </c>
      <c r="I49" s="1" t="s">
        <v>1519</v>
      </c>
      <c r="J49" s="3"/>
      <c r="K49" s="1"/>
      <c r="L49" s="3"/>
    </row>
    <row r="50" spans="1:12" ht="50.1" customHeight="1">
      <c r="A50" s="1" t="s">
        <v>1656</v>
      </c>
      <c r="B50" s="1" t="s">
        <v>281</v>
      </c>
      <c r="C50" s="1" t="s">
        <v>193</v>
      </c>
      <c r="D50" s="3" t="s">
        <v>305</v>
      </c>
      <c r="E50" s="3" t="s">
        <v>1657</v>
      </c>
      <c r="F50" s="3" t="s">
        <v>1658</v>
      </c>
      <c r="G50" s="3" t="s">
        <v>307</v>
      </c>
      <c r="H50" s="1" t="s">
        <v>1518</v>
      </c>
      <c r="I50" s="1" t="s">
        <v>1519</v>
      </c>
      <c r="J50" s="3"/>
      <c r="K50" s="1"/>
      <c r="L50" s="3"/>
    </row>
    <row r="51" spans="1:12" ht="50.1" customHeight="1">
      <c r="A51" s="1" t="s">
        <v>1659</v>
      </c>
      <c r="B51" s="1" t="s">
        <v>281</v>
      </c>
      <c r="C51" s="1" t="s">
        <v>310</v>
      </c>
      <c r="D51" s="3" t="s">
        <v>311</v>
      </c>
      <c r="E51" s="3" t="s">
        <v>1660</v>
      </c>
      <c r="F51" s="3" t="s">
        <v>1661</v>
      </c>
      <c r="G51" s="3" t="s">
        <v>313</v>
      </c>
      <c r="H51" s="1" t="s">
        <v>1538</v>
      </c>
      <c r="I51" s="1" t="s">
        <v>1519</v>
      </c>
      <c r="J51" s="3"/>
      <c r="K51" s="1"/>
      <c r="L51" s="3"/>
    </row>
    <row r="52" spans="1:12" ht="50.1" customHeight="1">
      <c r="A52" s="1" t="s">
        <v>1662</v>
      </c>
      <c r="B52" s="1" t="s">
        <v>281</v>
      </c>
      <c r="C52" s="1" t="s">
        <v>142</v>
      </c>
      <c r="D52" s="3" t="s">
        <v>316</v>
      </c>
      <c r="E52" s="3" t="s">
        <v>1663</v>
      </c>
      <c r="F52" s="3" t="s">
        <v>1664</v>
      </c>
      <c r="G52" s="3" t="s">
        <v>318</v>
      </c>
      <c r="H52" s="1" t="s">
        <v>1538</v>
      </c>
      <c r="I52" s="1" t="s">
        <v>1519</v>
      </c>
      <c r="J52" s="3"/>
      <c r="K52" s="1"/>
      <c r="L52" s="3"/>
    </row>
    <row r="53" spans="1:12" ht="50.1" customHeight="1">
      <c r="A53" s="1" t="s">
        <v>1665</v>
      </c>
      <c r="B53" s="1" t="s">
        <v>281</v>
      </c>
      <c r="C53" s="1" t="s">
        <v>321</v>
      </c>
      <c r="D53" s="3" t="s">
        <v>322</v>
      </c>
      <c r="E53" s="3" t="s">
        <v>1666</v>
      </c>
      <c r="F53" s="3" t="s">
        <v>1667</v>
      </c>
      <c r="G53" s="3" t="s">
        <v>324</v>
      </c>
      <c r="H53" s="1" t="s">
        <v>1538</v>
      </c>
      <c r="I53" s="1" t="s">
        <v>1519</v>
      </c>
      <c r="J53" s="3"/>
      <c r="K53" s="1"/>
      <c r="L53" s="3"/>
    </row>
    <row r="54" spans="1:12" ht="50.1" customHeight="1">
      <c r="A54" s="1" t="s">
        <v>1668</v>
      </c>
      <c r="B54" s="1" t="s">
        <v>281</v>
      </c>
      <c r="C54" s="1" t="s">
        <v>327</v>
      </c>
      <c r="D54" s="3" t="s">
        <v>328</v>
      </c>
      <c r="E54" s="3" t="s">
        <v>1669</v>
      </c>
      <c r="F54" s="3" t="s">
        <v>1670</v>
      </c>
      <c r="G54" s="3" t="s">
        <v>330</v>
      </c>
      <c r="H54" s="1" t="s">
        <v>1518</v>
      </c>
      <c r="I54" s="1" t="s">
        <v>1519</v>
      </c>
      <c r="J54" s="3"/>
      <c r="K54" s="1"/>
      <c r="L54" s="3"/>
    </row>
    <row r="55" spans="1:12" ht="50.1" customHeight="1">
      <c r="A55" s="1" t="s">
        <v>1671</v>
      </c>
      <c r="B55" s="1" t="s">
        <v>333</v>
      </c>
      <c r="C55" s="1" t="s">
        <v>334</v>
      </c>
      <c r="D55" s="3" t="s">
        <v>335</v>
      </c>
      <c r="E55" s="3" t="s">
        <v>1672</v>
      </c>
      <c r="F55" s="3" t="s">
        <v>1673</v>
      </c>
      <c r="G55" s="3" t="s">
        <v>337</v>
      </c>
      <c r="H55" s="1" t="s">
        <v>1518</v>
      </c>
      <c r="I55" s="1" t="s">
        <v>1519</v>
      </c>
      <c r="J55" s="3"/>
      <c r="K55" s="1"/>
      <c r="L55" s="3"/>
    </row>
    <row r="56" spans="1:12" ht="50.1" customHeight="1">
      <c r="A56" s="1" t="s">
        <v>1674</v>
      </c>
      <c r="B56" s="1" t="s">
        <v>333</v>
      </c>
      <c r="C56" s="1" t="s">
        <v>340</v>
      </c>
      <c r="D56" s="3" t="s">
        <v>341</v>
      </c>
      <c r="E56" s="3" t="s">
        <v>1675</v>
      </c>
      <c r="F56" s="3" t="s">
        <v>1676</v>
      </c>
      <c r="G56" s="3" t="s">
        <v>343</v>
      </c>
      <c r="H56" s="1" t="s">
        <v>1518</v>
      </c>
      <c r="I56" s="1" t="s">
        <v>1519</v>
      </c>
      <c r="J56" s="3"/>
      <c r="K56" s="1"/>
      <c r="L56" s="3"/>
    </row>
    <row r="57" spans="1:12" ht="50.1" customHeight="1">
      <c r="A57" s="1" t="s">
        <v>1677</v>
      </c>
      <c r="B57" s="1" t="s">
        <v>333</v>
      </c>
      <c r="C57" s="1" t="s">
        <v>340</v>
      </c>
      <c r="D57" s="3" t="s">
        <v>346</v>
      </c>
      <c r="E57" s="3" t="s">
        <v>1678</v>
      </c>
      <c r="F57" s="3" t="s">
        <v>1679</v>
      </c>
      <c r="G57" s="3" t="s">
        <v>348</v>
      </c>
      <c r="H57" s="1" t="s">
        <v>1518</v>
      </c>
      <c r="I57" s="1" t="s">
        <v>1519</v>
      </c>
      <c r="J57" s="3"/>
      <c r="K57" s="1"/>
      <c r="L57" s="3"/>
    </row>
    <row r="58" spans="1:12" ht="50.1" customHeight="1">
      <c r="A58" s="1" t="s">
        <v>1680</v>
      </c>
      <c r="B58" s="1" t="s">
        <v>333</v>
      </c>
      <c r="C58" s="1" t="s">
        <v>351</v>
      </c>
      <c r="D58" s="3" t="s">
        <v>352</v>
      </c>
      <c r="E58" s="3" t="s">
        <v>1681</v>
      </c>
      <c r="F58" s="3" t="s">
        <v>1682</v>
      </c>
      <c r="G58" s="3" t="s">
        <v>354</v>
      </c>
      <c r="H58" s="1" t="s">
        <v>1538</v>
      </c>
      <c r="I58" s="1" t="s">
        <v>1519</v>
      </c>
      <c r="J58" s="3"/>
      <c r="K58" s="1"/>
      <c r="L58" s="3"/>
    </row>
    <row r="59" spans="1:12" ht="50.1" customHeight="1">
      <c r="A59" s="1" t="s">
        <v>1683</v>
      </c>
      <c r="B59" s="1" t="s">
        <v>333</v>
      </c>
      <c r="C59" s="1" t="s">
        <v>357</v>
      </c>
      <c r="D59" s="3" t="s">
        <v>358</v>
      </c>
      <c r="E59" s="3" t="s">
        <v>1684</v>
      </c>
      <c r="F59" s="3" t="s">
        <v>1685</v>
      </c>
      <c r="G59" s="3" t="s">
        <v>360</v>
      </c>
      <c r="H59" s="1" t="s">
        <v>1518</v>
      </c>
      <c r="I59" s="1" t="s">
        <v>1519</v>
      </c>
      <c r="J59" s="3"/>
      <c r="K59" s="1"/>
      <c r="L59" s="3"/>
    </row>
    <row r="60" spans="1:12" ht="50.1" customHeight="1">
      <c r="A60" s="1" t="s">
        <v>1686</v>
      </c>
      <c r="B60" s="1" t="s">
        <v>333</v>
      </c>
      <c r="C60" s="1" t="s">
        <v>363</v>
      </c>
      <c r="D60" s="3" t="s">
        <v>364</v>
      </c>
      <c r="E60" s="3" t="s">
        <v>1687</v>
      </c>
      <c r="F60" s="3" t="s">
        <v>1688</v>
      </c>
      <c r="G60" s="3" t="s">
        <v>366</v>
      </c>
      <c r="H60" s="1" t="s">
        <v>1538</v>
      </c>
      <c r="I60" s="1" t="s">
        <v>1519</v>
      </c>
      <c r="J60" s="3"/>
      <c r="K60" s="1"/>
      <c r="L60" s="3"/>
    </row>
    <row r="61" spans="1:12" ht="50.1" customHeight="1">
      <c r="A61" s="1" t="s">
        <v>1689</v>
      </c>
      <c r="B61" s="1" t="s">
        <v>333</v>
      </c>
      <c r="C61" s="1" t="s">
        <v>369</v>
      </c>
      <c r="D61" s="3" t="s">
        <v>370</v>
      </c>
      <c r="E61" s="3" t="s">
        <v>1690</v>
      </c>
      <c r="F61" s="3" t="s">
        <v>1691</v>
      </c>
      <c r="G61" s="3" t="s">
        <v>372</v>
      </c>
      <c r="H61" s="1" t="s">
        <v>1538</v>
      </c>
      <c r="I61" s="1" t="s">
        <v>1519</v>
      </c>
      <c r="J61" s="3"/>
      <c r="K61" s="1"/>
      <c r="L61" s="3"/>
    </row>
    <row r="62" spans="1:12" ht="50.1" customHeight="1">
      <c r="A62" s="1" t="s">
        <v>1692</v>
      </c>
      <c r="B62" s="1" t="s">
        <v>333</v>
      </c>
      <c r="C62" s="1" t="s">
        <v>375</v>
      </c>
      <c r="D62" s="3" t="s">
        <v>376</v>
      </c>
      <c r="E62" s="3" t="s">
        <v>1693</v>
      </c>
      <c r="F62" s="3" t="s">
        <v>1694</v>
      </c>
      <c r="G62" s="3" t="s">
        <v>378</v>
      </c>
      <c r="H62" s="1" t="s">
        <v>1538</v>
      </c>
      <c r="I62" s="1" t="s">
        <v>1519</v>
      </c>
      <c r="J62" s="3"/>
      <c r="K62" s="1"/>
      <c r="L62" s="3"/>
    </row>
    <row r="63" spans="1:12" ht="50.1" customHeight="1">
      <c r="A63" s="1" t="s">
        <v>1695</v>
      </c>
      <c r="B63" s="1" t="s">
        <v>333</v>
      </c>
      <c r="C63" s="1" t="s">
        <v>381</v>
      </c>
      <c r="D63" s="3" t="s">
        <v>382</v>
      </c>
      <c r="E63" s="3" t="s">
        <v>1696</v>
      </c>
      <c r="F63" s="3" t="s">
        <v>1697</v>
      </c>
      <c r="G63" s="3" t="s">
        <v>384</v>
      </c>
      <c r="H63" s="1" t="s">
        <v>1518</v>
      </c>
      <c r="I63" s="1" t="s">
        <v>1519</v>
      </c>
      <c r="J63" s="3"/>
      <c r="K63" s="1"/>
      <c r="L63" s="3"/>
    </row>
    <row r="64" spans="1:12" ht="50.1" customHeight="1">
      <c r="A64" s="1" t="s">
        <v>1698</v>
      </c>
      <c r="B64" s="1" t="s">
        <v>387</v>
      </c>
      <c r="C64" s="1" t="s">
        <v>388</v>
      </c>
      <c r="D64" s="3" t="s">
        <v>389</v>
      </c>
      <c r="E64" s="3" t="s">
        <v>1699</v>
      </c>
      <c r="F64" s="3" t="s">
        <v>1700</v>
      </c>
      <c r="G64" s="3" t="s">
        <v>391</v>
      </c>
      <c r="H64" s="1" t="s">
        <v>1518</v>
      </c>
      <c r="I64" s="1" t="s">
        <v>1519</v>
      </c>
      <c r="J64" s="3"/>
      <c r="K64" s="1"/>
      <c r="L64" s="3"/>
    </row>
    <row r="65" spans="1:12" ht="50.1" customHeight="1">
      <c r="A65" s="1" t="s">
        <v>1701</v>
      </c>
      <c r="B65" s="1" t="s">
        <v>387</v>
      </c>
      <c r="C65" s="1" t="s">
        <v>394</v>
      </c>
      <c r="D65" s="3" t="s">
        <v>395</v>
      </c>
      <c r="E65" s="3" t="s">
        <v>1702</v>
      </c>
      <c r="F65" s="3" t="s">
        <v>1703</v>
      </c>
      <c r="G65" s="3" t="s">
        <v>397</v>
      </c>
      <c r="H65" s="1" t="s">
        <v>1518</v>
      </c>
      <c r="I65" s="1" t="s">
        <v>1519</v>
      </c>
      <c r="J65" s="3"/>
      <c r="K65" s="1"/>
      <c r="L65" s="3"/>
    </row>
    <row r="66" spans="1:12" ht="50.1" customHeight="1">
      <c r="A66" s="1" t="s">
        <v>1704</v>
      </c>
      <c r="B66" s="1" t="s">
        <v>387</v>
      </c>
      <c r="C66" s="1" t="s">
        <v>388</v>
      </c>
      <c r="D66" s="3" t="s">
        <v>400</v>
      </c>
      <c r="E66" s="3" t="s">
        <v>1705</v>
      </c>
      <c r="F66" s="3" t="s">
        <v>1706</v>
      </c>
      <c r="G66" s="3" t="s">
        <v>402</v>
      </c>
      <c r="H66" s="1" t="s">
        <v>1538</v>
      </c>
      <c r="I66" s="1" t="s">
        <v>1519</v>
      </c>
      <c r="J66" s="3"/>
      <c r="K66" s="1"/>
      <c r="L66" s="3"/>
    </row>
    <row r="67" spans="1:12" ht="50.1" customHeight="1">
      <c r="A67" s="1" t="s">
        <v>1707</v>
      </c>
      <c r="B67" s="1" t="s">
        <v>387</v>
      </c>
      <c r="C67" s="1" t="s">
        <v>93</v>
      </c>
      <c r="D67" s="3" t="s">
        <v>405</v>
      </c>
      <c r="E67" s="3" t="s">
        <v>1708</v>
      </c>
      <c r="F67" s="3" t="s">
        <v>1709</v>
      </c>
      <c r="G67" s="3" t="s">
        <v>407</v>
      </c>
      <c r="H67" s="1" t="s">
        <v>1518</v>
      </c>
      <c r="I67" s="1" t="s">
        <v>1519</v>
      </c>
      <c r="J67" s="3"/>
      <c r="K67" s="1"/>
      <c r="L67" s="3"/>
    </row>
    <row r="68" spans="1:12" ht="50.1" customHeight="1">
      <c r="A68" s="1" t="s">
        <v>1710</v>
      </c>
      <c r="B68" s="1" t="s">
        <v>387</v>
      </c>
      <c r="C68" s="1" t="s">
        <v>193</v>
      </c>
      <c r="D68" s="3" t="s">
        <v>410</v>
      </c>
      <c r="E68" s="3" t="s">
        <v>1711</v>
      </c>
      <c r="F68" s="3" t="s">
        <v>1712</v>
      </c>
      <c r="G68" s="3" t="s">
        <v>412</v>
      </c>
      <c r="H68" s="1" t="s">
        <v>1518</v>
      </c>
      <c r="I68" s="1" t="s">
        <v>1519</v>
      </c>
      <c r="J68" s="3"/>
      <c r="K68" s="1"/>
      <c r="L68" s="3"/>
    </row>
    <row r="69" spans="1:12" ht="50.1" customHeight="1">
      <c r="A69" s="1" t="s">
        <v>1713</v>
      </c>
      <c r="B69" s="1" t="s">
        <v>387</v>
      </c>
      <c r="C69" s="1" t="s">
        <v>327</v>
      </c>
      <c r="D69" s="3" t="s">
        <v>415</v>
      </c>
      <c r="E69" s="3" t="s">
        <v>1714</v>
      </c>
      <c r="F69" s="3" t="s">
        <v>1715</v>
      </c>
      <c r="G69" s="3" t="s">
        <v>417</v>
      </c>
      <c r="H69" s="1" t="s">
        <v>1538</v>
      </c>
      <c r="I69" s="1" t="s">
        <v>1519</v>
      </c>
      <c r="J69" s="3"/>
      <c r="K69" s="1"/>
      <c r="L69" s="3"/>
    </row>
    <row r="70" spans="1:12" ht="50.1" customHeight="1">
      <c r="A70" s="1" t="s">
        <v>1716</v>
      </c>
      <c r="B70" s="1" t="s">
        <v>420</v>
      </c>
      <c r="C70" s="1" t="s">
        <v>421</v>
      </c>
      <c r="D70" s="3" t="s">
        <v>422</v>
      </c>
      <c r="E70" s="3" t="s">
        <v>1717</v>
      </c>
      <c r="F70" s="3" t="s">
        <v>1718</v>
      </c>
      <c r="G70" s="3" t="s">
        <v>424</v>
      </c>
      <c r="H70" s="1" t="s">
        <v>1518</v>
      </c>
      <c r="I70" s="1" t="s">
        <v>1519</v>
      </c>
      <c r="J70" s="3"/>
      <c r="K70" s="1"/>
      <c r="L70" s="3"/>
    </row>
    <row r="71" spans="1:12" ht="50.1" customHeight="1">
      <c r="A71" s="1" t="s">
        <v>1719</v>
      </c>
      <c r="B71" s="1" t="s">
        <v>420</v>
      </c>
      <c r="C71" s="1" t="s">
        <v>421</v>
      </c>
      <c r="D71" s="3" t="s">
        <v>427</v>
      </c>
      <c r="E71" s="3" t="s">
        <v>1720</v>
      </c>
      <c r="F71" s="3" t="s">
        <v>1721</v>
      </c>
      <c r="G71" s="3" t="s">
        <v>429</v>
      </c>
      <c r="H71" s="1" t="s">
        <v>1518</v>
      </c>
      <c r="I71" s="1" t="s">
        <v>1519</v>
      </c>
      <c r="J71" s="3"/>
      <c r="K71" s="1"/>
      <c r="L71" s="3"/>
    </row>
    <row r="72" spans="1:12" ht="50.1" customHeight="1">
      <c r="A72" s="1" t="s">
        <v>1722</v>
      </c>
      <c r="B72" s="1" t="s">
        <v>420</v>
      </c>
      <c r="C72" s="1" t="s">
        <v>432</v>
      </c>
      <c r="D72" s="3" t="s">
        <v>433</v>
      </c>
      <c r="E72" s="3" t="s">
        <v>1723</v>
      </c>
      <c r="F72" s="3" t="s">
        <v>1724</v>
      </c>
      <c r="G72" s="3" t="s">
        <v>435</v>
      </c>
      <c r="H72" s="1" t="s">
        <v>1518</v>
      </c>
      <c r="I72" s="1" t="s">
        <v>1519</v>
      </c>
      <c r="J72" s="3"/>
      <c r="K72" s="1"/>
      <c r="L72" s="3"/>
    </row>
    <row r="73" spans="1:12" ht="50.1" customHeight="1">
      <c r="A73" s="1" t="s">
        <v>1725</v>
      </c>
      <c r="B73" s="1" t="s">
        <v>420</v>
      </c>
      <c r="C73" s="1" t="s">
        <v>438</v>
      </c>
      <c r="D73" s="3" t="s">
        <v>439</v>
      </c>
      <c r="E73" s="3" t="s">
        <v>1726</v>
      </c>
      <c r="F73" s="3" t="s">
        <v>1727</v>
      </c>
      <c r="G73" s="3" t="s">
        <v>441</v>
      </c>
      <c r="H73" s="1" t="s">
        <v>1518</v>
      </c>
      <c r="I73" s="1" t="s">
        <v>1519</v>
      </c>
      <c r="J73" s="3"/>
      <c r="K73" s="1"/>
      <c r="L73" s="3"/>
    </row>
    <row r="74" spans="1:12" ht="50.1" customHeight="1">
      <c r="A74" s="1" t="s">
        <v>1728</v>
      </c>
      <c r="B74" s="1" t="s">
        <v>420</v>
      </c>
      <c r="C74" s="1" t="s">
        <v>438</v>
      </c>
      <c r="D74" s="3" t="s">
        <v>444</v>
      </c>
      <c r="E74" s="3" t="s">
        <v>1729</v>
      </c>
      <c r="F74" s="3" t="s">
        <v>1730</v>
      </c>
      <c r="G74" s="3" t="s">
        <v>446</v>
      </c>
      <c r="H74" s="1" t="s">
        <v>1538</v>
      </c>
      <c r="I74" s="1" t="s">
        <v>1519</v>
      </c>
      <c r="J74" s="3"/>
      <c r="K74" s="1"/>
      <c r="L74" s="3"/>
    </row>
    <row r="75" spans="1:12" ht="50.1" customHeight="1">
      <c r="A75" s="1" t="s">
        <v>1731</v>
      </c>
      <c r="B75" s="1" t="s">
        <v>420</v>
      </c>
      <c r="C75" s="1" t="s">
        <v>449</v>
      </c>
      <c r="D75" s="3" t="s">
        <v>450</v>
      </c>
      <c r="E75" s="3" t="s">
        <v>1732</v>
      </c>
      <c r="F75" s="3" t="s">
        <v>1733</v>
      </c>
      <c r="G75" s="3" t="s">
        <v>452</v>
      </c>
      <c r="H75" s="1" t="s">
        <v>1518</v>
      </c>
      <c r="I75" s="1" t="s">
        <v>1519</v>
      </c>
      <c r="J75" s="3"/>
      <c r="K75" s="1"/>
      <c r="L75" s="3"/>
    </row>
    <row r="76" spans="1:12" ht="50.1" customHeight="1">
      <c r="A76" s="1" t="s">
        <v>1734</v>
      </c>
      <c r="B76" s="1" t="s">
        <v>420</v>
      </c>
      <c r="C76" s="1" t="s">
        <v>455</v>
      </c>
      <c r="D76" s="3" t="s">
        <v>456</v>
      </c>
      <c r="E76" s="3" t="s">
        <v>1735</v>
      </c>
      <c r="F76" s="3" t="s">
        <v>1736</v>
      </c>
      <c r="G76" s="3" t="s">
        <v>458</v>
      </c>
      <c r="H76" s="1" t="s">
        <v>1518</v>
      </c>
      <c r="I76" s="1" t="s">
        <v>1519</v>
      </c>
      <c r="J76" s="3"/>
      <c r="K76" s="1"/>
      <c r="L76" s="3"/>
    </row>
    <row r="77" spans="1:12" ht="50.1" customHeight="1">
      <c r="A77" s="1" t="s">
        <v>1737</v>
      </c>
      <c r="B77" s="1" t="s">
        <v>51</v>
      </c>
      <c r="C77" s="1" t="s">
        <v>1738</v>
      </c>
      <c r="D77" s="3" t="s">
        <v>1739</v>
      </c>
      <c r="E77" s="3" t="s">
        <v>1740</v>
      </c>
      <c r="F77" s="3" t="s">
        <v>1741</v>
      </c>
      <c r="G77" s="3" t="s">
        <v>1742</v>
      </c>
      <c r="H77" s="1" t="s">
        <v>1743</v>
      </c>
      <c r="I77" s="1" t="s">
        <v>1519</v>
      </c>
      <c r="J77" s="3"/>
      <c r="K77" s="1"/>
      <c r="L77" s="3"/>
    </row>
    <row r="78" spans="1:12" ht="50.1" customHeight="1">
      <c r="A78" s="1" t="s">
        <v>1744</v>
      </c>
      <c r="B78" s="1" t="s">
        <v>51</v>
      </c>
      <c r="C78" s="1" t="s">
        <v>1745</v>
      </c>
      <c r="D78" s="3" t="s">
        <v>1746</v>
      </c>
      <c r="E78" s="3" t="s">
        <v>1747</v>
      </c>
      <c r="F78" s="3" t="s">
        <v>1748</v>
      </c>
      <c r="G78" s="3" t="s">
        <v>1749</v>
      </c>
      <c r="H78" s="1" t="s">
        <v>1743</v>
      </c>
      <c r="I78" s="1" t="s">
        <v>1519</v>
      </c>
      <c r="J78" s="3"/>
      <c r="K78" s="1"/>
      <c r="L78" s="3"/>
    </row>
    <row r="79" spans="1:12" ht="50.1" customHeight="1">
      <c r="A79" s="1" t="s">
        <v>1750</v>
      </c>
      <c r="B79" s="1" t="s">
        <v>110</v>
      </c>
      <c r="C79" s="1" t="s">
        <v>111</v>
      </c>
      <c r="D79" s="3" t="s">
        <v>1751</v>
      </c>
      <c r="E79" s="3" t="s">
        <v>1752</v>
      </c>
      <c r="F79" s="3" t="s">
        <v>1753</v>
      </c>
      <c r="G79" s="3" t="s">
        <v>1754</v>
      </c>
      <c r="H79" s="1" t="s">
        <v>1743</v>
      </c>
      <c r="I79" s="1" t="s">
        <v>1519</v>
      </c>
      <c r="J79" s="3"/>
      <c r="K79" s="1"/>
      <c r="L79" s="3"/>
    </row>
    <row r="80" spans="1:12" ht="50.1" customHeight="1">
      <c r="A80" s="1" t="s">
        <v>1755</v>
      </c>
      <c r="B80" s="1" t="s">
        <v>110</v>
      </c>
      <c r="C80" s="1" t="s">
        <v>1756</v>
      </c>
      <c r="D80" s="3" t="s">
        <v>1757</v>
      </c>
      <c r="E80" s="3" t="s">
        <v>1758</v>
      </c>
      <c r="F80" s="3" t="s">
        <v>1759</v>
      </c>
      <c r="G80" s="3" t="s">
        <v>1760</v>
      </c>
      <c r="H80" s="1" t="s">
        <v>1743</v>
      </c>
      <c r="I80" s="1" t="s">
        <v>1519</v>
      </c>
      <c r="J80" s="3"/>
      <c r="K80" s="1"/>
      <c r="L80" s="3"/>
    </row>
    <row r="81" spans="1:12" ht="50.1" customHeight="1">
      <c r="A81" s="1" t="s">
        <v>1761</v>
      </c>
      <c r="B81" s="1" t="s">
        <v>153</v>
      </c>
      <c r="C81" s="1" t="s">
        <v>1762</v>
      </c>
      <c r="D81" s="3" t="s">
        <v>1763</v>
      </c>
      <c r="E81" s="3" t="s">
        <v>1764</v>
      </c>
      <c r="F81" s="3" t="s">
        <v>1765</v>
      </c>
      <c r="G81" s="3" t="s">
        <v>1766</v>
      </c>
      <c r="H81" s="1" t="s">
        <v>1743</v>
      </c>
      <c r="I81" s="1" t="s">
        <v>1519</v>
      </c>
      <c r="J81" s="3"/>
      <c r="K81" s="1"/>
      <c r="L81" s="3"/>
    </row>
    <row r="82" spans="1:12" ht="50.1" customHeight="1">
      <c r="A82" s="1" t="s">
        <v>1767</v>
      </c>
      <c r="B82" s="1" t="s">
        <v>153</v>
      </c>
      <c r="C82" s="1" t="s">
        <v>1768</v>
      </c>
      <c r="D82" s="3" t="s">
        <v>1769</v>
      </c>
      <c r="E82" s="3" t="s">
        <v>1770</v>
      </c>
      <c r="F82" s="3" t="s">
        <v>1765</v>
      </c>
      <c r="G82" s="3" t="s">
        <v>1771</v>
      </c>
      <c r="H82" s="1" t="s">
        <v>1743</v>
      </c>
      <c r="I82" s="1" t="s">
        <v>1519</v>
      </c>
      <c r="J82" s="3"/>
      <c r="K82" s="1"/>
      <c r="L82" s="3"/>
    </row>
    <row r="83" spans="1:12" ht="50.1" customHeight="1">
      <c r="A83" s="1" t="s">
        <v>1772</v>
      </c>
      <c r="B83" s="1" t="s">
        <v>192</v>
      </c>
      <c r="C83" s="1" t="s">
        <v>1773</v>
      </c>
      <c r="D83" s="3" t="s">
        <v>1774</v>
      </c>
      <c r="E83" s="3" t="s">
        <v>1775</v>
      </c>
      <c r="F83" s="3" t="s">
        <v>1776</v>
      </c>
      <c r="G83" s="3" t="s">
        <v>1777</v>
      </c>
      <c r="H83" s="1" t="s">
        <v>1743</v>
      </c>
      <c r="I83" s="1" t="s">
        <v>1519</v>
      </c>
      <c r="J83" s="3"/>
      <c r="K83" s="1"/>
      <c r="L83" s="3"/>
    </row>
    <row r="84" spans="1:12" ht="50.1" customHeight="1">
      <c r="A84" s="1" t="s">
        <v>1778</v>
      </c>
      <c r="B84" s="1" t="s">
        <v>224</v>
      </c>
      <c r="C84" s="1" t="s">
        <v>1779</v>
      </c>
      <c r="D84" s="3" t="s">
        <v>1780</v>
      </c>
      <c r="E84" s="3" t="s">
        <v>1781</v>
      </c>
      <c r="F84" s="3" t="s">
        <v>1782</v>
      </c>
      <c r="G84" s="3" t="s">
        <v>1783</v>
      </c>
      <c r="H84" s="1" t="s">
        <v>1743</v>
      </c>
      <c r="I84" s="1" t="s">
        <v>1519</v>
      </c>
      <c r="J84" s="3"/>
      <c r="K84" s="1"/>
      <c r="L84" s="3"/>
    </row>
    <row r="85" spans="1:12" ht="50.1" customHeight="1">
      <c r="A85" s="1" t="s">
        <v>1784</v>
      </c>
      <c r="B85" s="1" t="s">
        <v>224</v>
      </c>
      <c r="C85" s="1" t="s">
        <v>1779</v>
      </c>
      <c r="D85" s="3" t="s">
        <v>1785</v>
      </c>
      <c r="E85" s="3" t="s">
        <v>1786</v>
      </c>
      <c r="F85" s="3" t="s">
        <v>1782</v>
      </c>
      <c r="G85" s="3" t="s">
        <v>1787</v>
      </c>
      <c r="H85" s="1" t="s">
        <v>1743</v>
      </c>
      <c r="I85" s="1" t="s">
        <v>1519</v>
      </c>
      <c r="J85" s="3"/>
      <c r="K85" s="1"/>
      <c r="L85" s="3"/>
    </row>
    <row r="86" spans="1:12" ht="50.1" customHeight="1">
      <c r="A86" s="1" t="s">
        <v>1788</v>
      </c>
      <c r="B86" s="1" t="s">
        <v>224</v>
      </c>
      <c r="C86" s="1" t="s">
        <v>1779</v>
      </c>
      <c r="D86" s="3" t="s">
        <v>1789</v>
      </c>
      <c r="E86" s="3" t="s">
        <v>1790</v>
      </c>
      <c r="F86" s="3" t="s">
        <v>1791</v>
      </c>
      <c r="G86" s="3" t="s">
        <v>1792</v>
      </c>
      <c r="H86" s="1" t="s">
        <v>1743</v>
      </c>
      <c r="I86" s="1" t="s">
        <v>1519</v>
      </c>
      <c r="J86" s="3"/>
      <c r="K86" s="1"/>
      <c r="L86" s="3"/>
    </row>
    <row r="87" spans="1:12" ht="50.1" customHeight="1">
      <c r="A87" s="1" t="s">
        <v>1793</v>
      </c>
      <c r="B87" s="1" t="s">
        <v>255</v>
      </c>
      <c r="C87" s="1" t="s">
        <v>1794</v>
      </c>
      <c r="D87" s="3" t="s">
        <v>1795</v>
      </c>
      <c r="E87" s="3" t="s">
        <v>1796</v>
      </c>
      <c r="F87" s="3" t="s">
        <v>1797</v>
      </c>
      <c r="G87" s="3" t="s">
        <v>1798</v>
      </c>
      <c r="H87" s="1" t="s">
        <v>1743</v>
      </c>
      <c r="I87" s="1" t="s">
        <v>1519</v>
      </c>
      <c r="J87" s="3"/>
      <c r="K87" s="1"/>
      <c r="L87" s="3"/>
    </row>
    <row r="88" spans="1:12" ht="50.1" customHeight="1">
      <c r="A88" s="1" t="s">
        <v>1799</v>
      </c>
      <c r="B88" s="1" t="s">
        <v>281</v>
      </c>
      <c r="C88" s="1" t="s">
        <v>1800</v>
      </c>
      <c r="D88" s="3" t="s">
        <v>1801</v>
      </c>
      <c r="E88" s="3" t="s">
        <v>1802</v>
      </c>
      <c r="F88" s="3" t="s">
        <v>1803</v>
      </c>
      <c r="G88" s="3" t="s">
        <v>1804</v>
      </c>
      <c r="H88" s="1" t="s">
        <v>1743</v>
      </c>
      <c r="I88" s="1" t="s">
        <v>1519</v>
      </c>
      <c r="J88" s="3"/>
      <c r="K88" s="1"/>
      <c r="L88" s="3"/>
    </row>
    <row r="89" spans="1:12" ht="50.1" customHeight="1">
      <c r="A89" s="1" t="s">
        <v>1805</v>
      </c>
      <c r="B89" s="1" t="s">
        <v>281</v>
      </c>
      <c r="C89" s="1" t="s">
        <v>1779</v>
      </c>
      <c r="D89" s="3" t="s">
        <v>1806</v>
      </c>
      <c r="E89" s="3" t="s">
        <v>1807</v>
      </c>
      <c r="F89" s="3" t="s">
        <v>1808</v>
      </c>
      <c r="G89" s="3" t="s">
        <v>1809</v>
      </c>
      <c r="H89" s="1" t="s">
        <v>1743</v>
      </c>
      <c r="I89" s="1" t="s">
        <v>1519</v>
      </c>
      <c r="J89" s="3"/>
      <c r="K89" s="1"/>
      <c r="L89" s="3"/>
    </row>
    <row r="90" spans="1:12" ht="50.1" customHeight="1">
      <c r="A90" s="1" t="s">
        <v>1810</v>
      </c>
      <c r="B90" s="1" t="s">
        <v>333</v>
      </c>
      <c r="C90" s="1" t="s">
        <v>1811</v>
      </c>
      <c r="D90" s="3" t="s">
        <v>1812</v>
      </c>
      <c r="E90" s="3" t="s">
        <v>1813</v>
      </c>
      <c r="F90" s="3" t="s">
        <v>1814</v>
      </c>
      <c r="G90" s="3" t="s">
        <v>1815</v>
      </c>
      <c r="H90" s="1" t="s">
        <v>1743</v>
      </c>
      <c r="I90" s="1" t="s">
        <v>1519</v>
      </c>
      <c r="J90" s="3"/>
      <c r="K90" s="1"/>
      <c r="L90" s="3"/>
    </row>
    <row r="91" spans="1:12" ht="50.1" customHeight="1">
      <c r="A91" s="1" t="s">
        <v>1816</v>
      </c>
      <c r="B91" s="1" t="s">
        <v>387</v>
      </c>
      <c r="C91" s="1" t="s">
        <v>1817</v>
      </c>
      <c r="D91" s="3" t="s">
        <v>1818</v>
      </c>
      <c r="E91" s="3" t="s">
        <v>1819</v>
      </c>
      <c r="F91" s="3" t="s">
        <v>1820</v>
      </c>
      <c r="G91" s="3" t="s">
        <v>1821</v>
      </c>
      <c r="H91" s="1" t="s">
        <v>1743</v>
      </c>
      <c r="I91" s="1" t="s">
        <v>1519</v>
      </c>
      <c r="J91" s="3"/>
      <c r="K91" s="1"/>
      <c r="L91" s="3"/>
    </row>
  </sheetData>
  <mergeCells count="1">
    <mergeCell ref="A1:L1"/>
  </mergeCells>
  <dataValidations count="1">
    <dataValidation type="list" sqref="I4:I91" xr:uid="{00000000-0002-0000-0400-000000000000}">
      <formula1>"Not Run,Passed,Failed,Blocked"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4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0" customWidth="1"/>
    <col min="2" max="2" width="24" customWidth="1"/>
    <col min="3" max="3" width="20" customWidth="1"/>
    <col min="4" max="4" width="18" customWidth="1"/>
    <col min="5" max="5" width="10" customWidth="1"/>
    <col min="6" max="6" width="22" customWidth="1"/>
    <col min="7" max="7" width="48" customWidth="1"/>
    <col min="8" max="8" width="24" customWidth="1"/>
    <col min="9" max="9" width="38" customWidth="1"/>
  </cols>
  <sheetData>
    <row r="1" spans="1:9" ht="27.95" customHeight="1">
      <c r="A1" s="20" t="s">
        <v>1822</v>
      </c>
      <c r="B1" s="16"/>
      <c r="C1" s="16"/>
      <c r="D1" s="16"/>
      <c r="E1" s="16"/>
      <c r="F1" s="16"/>
      <c r="G1" s="16"/>
      <c r="H1" s="16"/>
      <c r="I1" s="1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30" customHeight="1">
      <c r="A3" s="5" t="s">
        <v>1823</v>
      </c>
      <c r="B3" s="5" t="s">
        <v>1824</v>
      </c>
      <c r="C3" s="5" t="s">
        <v>1825</v>
      </c>
      <c r="D3" s="5" t="s">
        <v>1826</v>
      </c>
      <c r="E3" s="5" t="s">
        <v>1827</v>
      </c>
      <c r="F3" s="5" t="s">
        <v>1828</v>
      </c>
      <c r="G3" s="5" t="s">
        <v>1829</v>
      </c>
      <c r="H3" s="5" t="s">
        <v>1830</v>
      </c>
      <c r="I3" s="5" t="s">
        <v>1503</v>
      </c>
    </row>
    <row r="4" spans="1:9" ht="35.1" customHeight="1">
      <c r="A4" s="1" t="s">
        <v>1831</v>
      </c>
      <c r="B4" s="1" t="s">
        <v>1832</v>
      </c>
      <c r="C4" s="1" t="s">
        <v>1833</v>
      </c>
      <c r="D4" s="1" t="s">
        <v>1834</v>
      </c>
      <c r="E4" s="1" t="s">
        <v>1835</v>
      </c>
      <c r="F4" s="1" t="s">
        <v>1836</v>
      </c>
      <c r="G4" s="8" t="s">
        <v>1837</v>
      </c>
      <c r="H4" s="1" t="s">
        <v>1838</v>
      </c>
      <c r="I4" s="8" t="s">
        <v>1839</v>
      </c>
    </row>
    <row r="5" spans="1:9" ht="35.1" customHeight="1">
      <c r="A5" s="1" t="s">
        <v>1831</v>
      </c>
      <c r="B5" s="1" t="s">
        <v>1840</v>
      </c>
      <c r="C5" s="1" t="s">
        <v>1841</v>
      </c>
      <c r="D5" s="1" t="s">
        <v>1842</v>
      </c>
      <c r="E5" s="1" t="s">
        <v>1835</v>
      </c>
      <c r="F5" s="1" t="s">
        <v>1843</v>
      </c>
      <c r="G5" s="8" t="s">
        <v>1844</v>
      </c>
      <c r="H5" s="1" t="s">
        <v>1845</v>
      </c>
      <c r="I5" s="8" t="s">
        <v>1846</v>
      </c>
    </row>
    <row r="6" spans="1:9" ht="35.1" customHeight="1">
      <c r="A6" s="1" t="s">
        <v>1831</v>
      </c>
      <c r="B6" s="1" t="s">
        <v>1847</v>
      </c>
      <c r="C6" s="1" t="s">
        <v>1848</v>
      </c>
      <c r="D6" s="1" t="s">
        <v>1849</v>
      </c>
      <c r="E6" s="1" t="s">
        <v>1835</v>
      </c>
      <c r="F6" s="1"/>
      <c r="G6" s="8" t="s">
        <v>1850</v>
      </c>
      <c r="H6" s="1" t="s">
        <v>1851</v>
      </c>
      <c r="I6" s="8"/>
    </row>
    <row r="7" spans="1:9" ht="35.1" customHeight="1">
      <c r="A7" s="1" t="s">
        <v>1831</v>
      </c>
      <c r="B7" s="1" t="s">
        <v>1852</v>
      </c>
      <c r="C7" s="1" t="s">
        <v>1853</v>
      </c>
      <c r="D7" s="1" t="s">
        <v>1854</v>
      </c>
      <c r="E7" s="1" t="s">
        <v>1855</v>
      </c>
      <c r="F7" s="1"/>
      <c r="G7" s="8" t="s">
        <v>1856</v>
      </c>
      <c r="H7" s="1" t="s">
        <v>1857</v>
      </c>
      <c r="I7" s="8" t="s">
        <v>1858</v>
      </c>
    </row>
    <row r="8" spans="1:9" ht="35.1" customHeight="1">
      <c r="A8" s="1" t="s">
        <v>1831</v>
      </c>
      <c r="B8" s="1" t="s">
        <v>1859</v>
      </c>
      <c r="C8" s="1" t="s">
        <v>1853</v>
      </c>
      <c r="D8" s="1" t="s">
        <v>1854</v>
      </c>
      <c r="E8" s="1" t="s">
        <v>1855</v>
      </c>
      <c r="F8" s="1"/>
      <c r="G8" s="8" t="s">
        <v>1860</v>
      </c>
      <c r="H8" s="1" t="s">
        <v>1861</v>
      </c>
      <c r="I8" s="8" t="s">
        <v>1858</v>
      </c>
    </row>
    <row r="9" spans="1:9" ht="35.1" customHeight="1">
      <c r="A9" s="1" t="s">
        <v>1831</v>
      </c>
      <c r="B9" s="1" t="s">
        <v>1862</v>
      </c>
      <c r="C9" s="1" t="s">
        <v>1853</v>
      </c>
      <c r="D9" s="1" t="s">
        <v>1842</v>
      </c>
      <c r="E9" s="1" t="s">
        <v>1855</v>
      </c>
      <c r="F9" s="1"/>
      <c r="G9" s="8" t="s">
        <v>1863</v>
      </c>
      <c r="H9" s="1" t="s">
        <v>1864</v>
      </c>
      <c r="I9" s="8" t="s">
        <v>1858</v>
      </c>
    </row>
    <row r="10" spans="1:9" ht="35.1" customHeight="1">
      <c r="A10" s="1" t="s">
        <v>1831</v>
      </c>
      <c r="B10" s="1" t="s">
        <v>1865</v>
      </c>
      <c r="C10" s="1" t="s">
        <v>111</v>
      </c>
      <c r="D10" s="1" t="s">
        <v>1866</v>
      </c>
      <c r="E10" s="1" t="s">
        <v>1835</v>
      </c>
      <c r="F10" s="1"/>
      <c r="G10" s="8" t="s">
        <v>1867</v>
      </c>
      <c r="H10" s="1" t="s">
        <v>1868</v>
      </c>
      <c r="I10" s="8" t="s">
        <v>1869</v>
      </c>
    </row>
    <row r="11" spans="1:9" ht="35.1" customHeight="1">
      <c r="A11" s="1" t="s">
        <v>1831</v>
      </c>
      <c r="B11" s="1" t="s">
        <v>1870</v>
      </c>
      <c r="C11" s="1" t="s">
        <v>111</v>
      </c>
      <c r="D11" s="1" t="s">
        <v>1866</v>
      </c>
      <c r="E11" s="1" t="s">
        <v>1835</v>
      </c>
      <c r="F11" s="1"/>
      <c r="G11" s="8" t="s">
        <v>1871</v>
      </c>
      <c r="H11" s="1" t="s">
        <v>1872</v>
      </c>
      <c r="I11" s="8" t="s">
        <v>1873</v>
      </c>
    </row>
    <row r="12" spans="1:9" ht="35.1" customHeight="1">
      <c r="A12" s="1" t="s">
        <v>1831</v>
      </c>
      <c r="B12" s="1" t="s">
        <v>1874</v>
      </c>
      <c r="C12" s="1" t="s">
        <v>111</v>
      </c>
      <c r="D12" s="1" t="s">
        <v>1875</v>
      </c>
      <c r="E12" s="1" t="s">
        <v>1835</v>
      </c>
      <c r="F12" s="1"/>
      <c r="G12" s="8" t="s">
        <v>1876</v>
      </c>
      <c r="H12" s="1" t="s">
        <v>1877</v>
      </c>
      <c r="I12" s="8" t="s">
        <v>1878</v>
      </c>
    </row>
    <row r="13" spans="1:9" ht="35.1" customHeight="1">
      <c r="A13" s="1" t="s">
        <v>1879</v>
      </c>
      <c r="B13" s="1" t="s">
        <v>1880</v>
      </c>
      <c r="C13" s="1" t="s">
        <v>1833</v>
      </c>
      <c r="D13" s="1" t="s">
        <v>1834</v>
      </c>
      <c r="E13" s="1" t="s">
        <v>1835</v>
      </c>
      <c r="F13" s="1" t="s">
        <v>1836</v>
      </c>
      <c r="G13" s="8" t="s">
        <v>1881</v>
      </c>
      <c r="H13" s="1" t="s">
        <v>1882</v>
      </c>
      <c r="I13" s="8"/>
    </row>
    <row r="14" spans="1:9" ht="35.1" customHeight="1">
      <c r="A14" s="1" t="s">
        <v>1879</v>
      </c>
      <c r="B14" s="1" t="s">
        <v>1883</v>
      </c>
      <c r="C14" s="1" t="s">
        <v>1841</v>
      </c>
      <c r="D14" s="1" t="s">
        <v>1842</v>
      </c>
      <c r="E14" s="1" t="s">
        <v>1835</v>
      </c>
      <c r="F14" s="1" t="s">
        <v>1884</v>
      </c>
      <c r="G14" s="8" t="s">
        <v>1885</v>
      </c>
      <c r="H14" s="1" t="s">
        <v>1886</v>
      </c>
      <c r="I14" s="8"/>
    </row>
    <row r="15" spans="1:9" ht="35.1" customHeight="1">
      <c r="A15" s="1" t="s">
        <v>1879</v>
      </c>
      <c r="B15" s="1" t="s">
        <v>1887</v>
      </c>
      <c r="C15" s="1" t="s">
        <v>1848</v>
      </c>
      <c r="D15" s="1" t="s">
        <v>1849</v>
      </c>
      <c r="E15" s="1" t="s">
        <v>1835</v>
      </c>
      <c r="F15" s="1"/>
      <c r="G15" s="8" t="s">
        <v>1888</v>
      </c>
      <c r="H15" s="1" t="s">
        <v>1889</v>
      </c>
      <c r="I15" s="8"/>
    </row>
    <row r="16" spans="1:9" ht="35.1" customHeight="1">
      <c r="A16" s="1" t="s">
        <v>1879</v>
      </c>
      <c r="B16" s="1" t="s">
        <v>44</v>
      </c>
      <c r="C16" s="1" t="s">
        <v>1848</v>
      </c>
      <c r="D16" s="1" t="s">
        <v>1854</v>
      </c>
      <c r="E16" s="1" t="s">
        <v>1855</v>
      </c>
      <c r="F16" s="1"/>
      <c r="G16" s="8" t="s">
        <v>1890</v>
      </c>
      <c r="H16" s="1" t="s">
        <v>1891</v>
      </c>
      <c r="I16" s="8"/>
    </row>
    <row r="17" spans="1:9" ht="35.1" customHeight="1">
      <c r="A17" s="1" t="s">
        <v>1879</v>
      </c>
      <c r="B17" s="1" t="s">
        <v>1892</v>
      </c>
      <c r="C17" s="1" t="s">
        <v>1893</v>
      </c>
      <c r="D17" s="1" t="s">
        <v>1894</v>
      </c>
      <c r="E17" s="1" t="s">
        <v>1855</v>
      </c>
      <c r="F17" s="1"/>
      <c r="G17" s="8" t="s">
        <v>1895</v>
      </c>
      <c r="H17" s="1" t="s">
        <v>1896</v>
      </c>
      <c r="I17" s="8" t="s">
        <v>1897</v>
      </c>
    </row>
    <row r="18" spans="1:9" ht="35.1" customHeight="1">
      <c r="A18" s="1" t="s">
        <v>1879</v>
      </c>
      <c r="B18" s="1" t="s">
        <v>1898</v>
      </c>
      <c r="C18" s="1" t="s">
        <v>1893</v>
      </c>
      <c r="D18" s="1" t="s">
        <v>1894</v>
      </c>
      <c r="E18" s="1" t="s">
        <v>1855</v>
      </c>
      <c r="F18" s="1"/>
      <c r="G18" s="8" t="s">
        <v>1899</v>
      </c>
      <c r="H18" s="1" t="s">
        <v>1900</v>
      </c>
      <c r="I18" s="8" t="s">
        <v>1901</v>
      </c>
    </row>
    <row r="19" spans="1:9" ht="35.1" customHeight="1">
      <c r="A19" s="1" t="s">
        <v>1902</v>
      </c>
      <c r="B19" s="1" t="s">
        <v>1903</v>
      </c>
      <c r="C19" s="1" t="s">
        <v>1904</v>
      </c>
      <c r="D19" s="1" t="s">
        <v>1905</v>
      </c>
      <c r="E19" s="1" t="s">
        <v>1835</v>
      </c>
      <c r="F19" s="1" t="s">
        <v>1836</v>
      </c>
      <c r="G19" s="8" t="s">
        <v>1906</v>
      </c>
      <c r="H19" s="1" t="s">
        <v>1907</v>
      </c>
      <c r="I19" s="8" t="s">
        <v>1908</v>
      </c>
    </row>
    <row r="20" spans="1:9" ht="35.1" customHeight="1">
      <c r="A20" s="1" t="s">
        <v>1902</v>
      </c>
      <c r="B20" s="1" t="s">
        <v>1909</v>
      </c>
      <c r="C20" s="1" t="s">
        <v>1910</v>
      </c>
      <c r="D20" s="1" t="s">
        <v>1911</v>
      </c>
      <c r="E20" s="1" t="s">
        <v>1835</v>
      </c>
      <c r="F20" s="1" t="s">
        <v>1912</v>
      </c>
      <c r="G20" s="8" t="s">
        <v>1913</v>
      </c>
      <c r="H20" s="1" t="s">
        <v>1914</v>
      </c>
      <c r="I20" s="8"/>
    </row>
    <row r="21" spans="1:9" ht="35.1" customHeight="1">
      <c r="A21" s="1" t="s">
        <v>1902</v>
      </c>
      <c r="B21" s="1" t="s">
        <v>1915</v>
      </c>
      <c r="C21" s="1" t="s">
        <v>1768</v>
      </c>
      <c r="D21" s="1" t="s">
        <v>1916</v>
      </c>
      <c r="E21" s="1" t="s">
        <v>1835</v>
      </c>
      <c r="F21" s="1"/>
      <c r="G21" s="8" t="s">
        <v>1917</v>
      </c>
      <c r="H21" s="1" t="s">
        <v>1918</v>
      </c>
      <c r="I21" s="8"/>
    </row>
    <row r="22" spans="1:9" ht="35.1" customHeight="1">
      <c r="A22" s="1" t="s">
        <v>1902</v>
      </c>
      <c r="B22" s="1" t="s">
        <v>1919</v>
      </c>
      <c r="C22" s="1" t="s">
        <v>1768</v>
      </c>
      <c r="D22" s="1" t="s">
        <v>1920</v>
      </c>
      <c r="E22" s="1" t="s">
        <v>1835</v>
      </c>
      <c r="F22" s="1"/>
      <c r="G22" s="8" t="s">
        <v>1921</v>
      </c>
      <c r="H22" s="1" t="s">
        <v>1922</v>
      </c>
      <c r="I22" s="8"/>
    </row>
    <row r="23" spans="1:9" ht="35.1" customHeight="1">
      <c r="A23" s="1" t="s">
        <v>1902</v>
      </c>
      <c r="B23" s="1" t="s">
        <v>1923</v>
      </c>
      <c r="C23" s="1" t="s">
        <v>1768</v>
      </c>
      <c r="D23" s="1" t="s">
        <v>1916</v>
      </c>
      <c r="E23" s="1" t="s">
        <v>1835</v>
      </c>
      <c r="F23" s="1"/>
      <c r="G23" s="8" t="s">
        <v>1924</v>
      </c>
      <c r="H23" s="1" t="s">
        <v>1925</v>
      </c>
      <c r="I23" s="8"/>
    </row>
    <row r="24" spans="1:9" ht="35.1" customHeight="1">
      <c r="A24" s="1" t="s">
        <v>1902</v>
      </c>
      <c r="B24" s="1" t="s">
        <v>1926</v>
      </c>
      <c r="C24" s="1" t="s">
        <v>1768</v>
      </c>
      <c r="D24" s="1" t="s">
        <v>1927</v>
      </c>
      <c r="E24" s="1" t="s">
        <v>1835</v>
      </c>
      <c r="F24" s="1"/>
      <c r="G24" s="8" t="s">
        <v>1928</v>
      </c>
      <c r="H24" s="1" t="s">
        <v>1929</v>
      </c>
      <c r="I24" s="8"/>
    </row>
    <row r="25" spans="1:9" ht="35.1" customHeight="1">
      <c r="A25" s="1" t="s">
        <v>1930</v>
      </c>
      <c r="B25" s="1" t="s">
        <v>1931</v>
      </c>
      <c r="C25" s="1" t="s">
        <v>1833</v>
      </c>
      <c r="D25" s="1" t="s">
        <v>1834</v>
      </c>
      <c r="E25" s="1" t="s">
        <v>1835</v>
      </c>
      <c r="F25" s="1" t="s">
        <v>1836</v>
      </c>
      <c r="G25" s="8" t="s">
        <v>1932</v>
      </c>
      <c r="H25" s="1" t="s">
        <v>1933</v>
      </c>
      <c r="I25" s="8"/>
    </row>
    <row r="26" spans="1:9" ht="35.1" customHeight="1">
      <c r="A26" s="1" t="s">
        <v>1930</v>
      </c>
      <c r="B26" s="1" t="s">
        <v>1852</v>
      </c>
      <c r="C26" s="1" t="s">
        <v>1848</v>
      </c>
      <c r="D26" s="1" t="s">
        <v>1854</v>
      </c>
      <c r="E26" s="1" t="s">
        <v>1835</v>
      </c>
      <c r="F26" s="1"/>
      <c r="G26" s="8" t="s">
        <v>1852</v>
      </c>
      <c r="H26" s="1" t="s">
        <v>1857</v>
      </c>
      <c r="I26" s="8"/>
    </row>
    <row r="27" spans="1:9" ht="35.1" customHeight="1">
      <c r="A27" s="1" t="s">
        <v>1930</v>
      </c>
      <c r="B27" s="1" t="s">
        <v>1859</v>
      </c>
      <c r="C27" s="1" t="s">
        <v>1848</v>
      </c>
      <c r="D27" s="1" t="s">
        <v>1854</v>
      </c>
      <c r="E27" s="1" t="s">
        <v>1855</v>
      </c>
      <c r="F27" s="1"/>
      <c r="G27" s="8" t="s">
        <v>1859</v>
      </c>
      <c r="H27" s="1" t="s">
        <v>1861</v>
      </c>
      <c r="I27" s="8"/>
    </row>
    <row r="28" spans="1:9" ht="35.1" customHeight="1">
      <c r="A28" s="1" t="s">
        <v>1934</v>
      </c>
      <c r="B28" s="1" t="s">
        <v>1935</v>
      </c>
      <c r="C28" s="1" t="s">
        <v>1936</v>
      </c>
      <c r="D28" s="1" t="s">
        <v>1842</v>
      </c>
      <c r="E28" s="1" t="s">
        <v>1835</v>
      </c>
      <c r="F28" s="1" t="s">
        <v>1937</v>
      </c>
      <c r="G28" s="8" t="s">
        <v>1938</v>
      </c>
      <c r="H28" s="1" t="s">
        <v>1939</v>
      </c>
      <c r="I28" s="8"/>
    </row>
    <row r="29" spans="1:9" ht="35.1" customHeight="1">
      <c r="A29" s="1" t="s">
        <v>1934</v>
      </c>
      <c r="B29" s="1" t="s">
        <v>1940</v>
      </c>
      <c r="C29" s="1" t="s">
        <v>1941</v>
      </c>
      <c r="D29" s="1" t="s">
        <v>1905</v>
      </c>
      <c r="E29" s="1" t="s">
        <v>1835</v>
      </c>
      <c r="F29" s="1" t="s">
        <v>1937</v>
      </c>
      <c r="G29" s="8" t="s">
        <v>1942</v>
      </c>
      <c r="H29" s="1" t="s">
        <v>1877</v>
      </c>
      <c r="I29" s="8" t="s">
        <v>1943</v>
      </c>
    </row>
    <row r="30" spans="1:9" ht="35.1" customHeight="1">
      <c r="A30" s="1" t="s">
        <v>1934</v>
      </c>
      <c r="B30" s="1" t="s">
        <v>1832</v>
      </c>
      <c r="C30" s="1" t="s">
        <v>1944</v>
      </c>
      <c r="D30" s="1" t="s">
        <v>1834</v>
      </c>
      <c r="E30" s="1" t="s">
        <v>1835</v>
      </c>
      <c r="F30" s="1" t="s">
        <v>1945</v>
      </c>
      <c r="G30" s="8" t="s">
        <v>1946</v>
      </c>
      <c r="H30" s="1" t="s">
        <v>1838</v>
      </c>
      <c r="I30" s="8"/>
    </row>
    <row r="31" spans="1:9" ht="35.1" customHeight="1">
      <c r="A31" s="1" t="s">
        <v>1934</v>
      </c>
      <c r="B31" s="1" t="s">
        <v>1880</v>
      </c>
      <c r="C31" s="1" t="s">
        <v>1944</v>
      </c>
      <c r="D31" s="1" t="s">
        <v>1834</v>
      </c>
      <c r="E31" s="1" t="s">
        <v>1835</v>
      </c>
      <c r="F31" s="1" t="s">
        <v>1945</v>
      </c>
      <c r="G31" s="8" t="s">
        <v>1947</v>
      </c>
      <c r="H31" s="1" t="s">
        <v>1882</v>
      </c>
      <c r="I31" s="8"/>
    </row>
    <row r="32" spans="1:9" ht="35.1" customHeight="1">
      <c r="A32" s="1" t="s">
        <v>1934</v>
      </c>
      <c r="B32" s="1" t="s">
        <v>1948</v>
      </c>
      <c r="C32" s="1" t="s">
        <v>1944</v>
      </c>
      <c r="D32" s="1" t="s">
        <v>1905</v>
      </c>
      <c r="E32" s="1" t="s">
        <v>1835</v>
      </c>
      <c r="F32" s="1" t="s">
        <v>1945</v>
      </c>
      <c r="G32" s="8" t="s">
        <v>1949</v>
      </c>
      <c r="H32" s="1" t="s">
        <v>1907</v>
      </c>
      <c r="I32" s="8"/>
    </row>
    <row r="33" spans="1:9" ht="35.1" customHeight="1">
      <c r="A33" s="1" t="s">
        <v>1934</v>
      </c>
      <c r="B33" s="1" t="s">
        <v>1931</v>
      </c>
      <c r="C33" s="1" t="s">
        <v>1944</v>
      </c>
      <c r="D33" s="1" t="s">
        <v>1834</v>
      </c>
      <c r="E33" s="1" t="s">
        <v>1835</v>
      </c>
      <c r="F33" s="1" t="s">
        <v>1945</v>
      </c>
      <c r="G33" s="8" t="s">
        <v>1950</v>
      </c>
      <c r="H33" s="1" t="s">
        <v>1933</v>
      </c>
      <c r="I33" s="8"/>
    </row>
    <row r="34" spans="1:9" ht="35.1" customHeight="1">
      <c r="A34" s="1" t="s">
        <v>1934</v>
      </c>
      <c r="B34" s="1" t="s">
        <v>1951</v>
      </c>
      <c r="C34" s="1" t="s">
        <v>1952</v>
      </c>
      <c r="D34" s="1" t="s">
        <v>1953</v>
      </c>
      <c r="E34" s="1" t="s">
        <v>1835</v>
      </c>
      <c r="F34" s="1" t="s">
        <v>1954</v>
      </c>
      <c r="G34" s="8" t="s">
        <v>1955</v>
      </c>
      <c r="H34" s="1" t="s">
        <v>1956</v>
      </c>
      <c r="I34" s="8"/>
    </row>
    <row r="35" spans="1:9" ht="35.1" customHeight="1">
      <c r="A35" s="1" t="s">
        <v>1934</v>
      </c>
      <c r="B35" s="1" t="s">
        <v>1957</v>
      </c>
      <c r="C35" s="1" t="s">
        <v>1952</v>
      </c>
      <c r="D35" s="1" t="s">
        <v>1894</v>
      </c>
      <c r="E35" s="1" t="s">
        <v>1835</v>
      </c>
      <c r="F35" s="1" t="s">
        <v>1954</v>
      </c>
      <c r="G35" s="8" t="s">
        <v>1958</v>
      </c>
      <c r="H35" s="1" t="s">
        <v>1959</v>
      </c>
      <c r="I35" s="8"/>
    </row>
    <row r="36" spans="1:9" ht="35.1" customHeight="1">
      <c r="A36" s="1" t="s">
        <v>1934</v>
      </c>
      <c r="B36" s="1" t="s">
        <v>1960</v>
      </c>
      <c r="C36" s="1" t="s">
        <v>1952</v>
      </c>
      <c r="D36" s="1" t="s">
        <v>1894</v>
      </c>
      <c r="E36" s="1" t="s">
        <v>1835</v>
      </c>
      <c r="F36" s="1" t="s">
        <v>1954</v>
      </c>
      <c r="G36" s="8" t="s">
        <v>1961</v>
      </c>
      <c r="H36" s="1" t="s">
        <v>1962</v>
      </c>
      <c r="I36" s="8" t="s">
        <v>1963</v>
      </c>
    </row>
    <row r="37" spans="1:9" ht="35.1" customHeight="1">
      <c r="A37" s="1" t="s">
        <v>1934</v>
      </c>
      <c r="B37" s="1" t="s">
        <v>1964</v>
      </c>
      <c r="C37" s="1" t="s">
        <v>93</v>
      </c>
      <c r="D37" s="1" t="s">
        <v>1834</v>
      </c>
      <c r="E37" s="1" t="s">
        <v>1835</v>
      </c>
      <c r="F37" s="1"/>
      <c r="G37" s="8" t="s">
        <v>1965</v>
      </c>
      <c r="H37" s="1" t="s">
        <v>1966</v>
      </c>
      <c r="I37" s="8"/>
    </row>
    <row r="38" spans="1:9" ht="35.1" customHeight="1">
      <c r="A38" s="1" t="s">
        <v>1967</v>
      </c>
      <c r="B38" s="1" t="s">
        <v>1968</v>
      </c>
      <c r="C38" s="1" t="s">
        <v>1841</v>
      </c>
      <c r="D38" s="1" t="s">
        <v>1842</v>
      </c>
      <c r="E38" s="1" t="s">
        <v>1835</v>
      </c>
      <c r="F38" s="1" t="s">
        <v>1841</v>
      </c>
      <c r="G38" s="8" t="s">
        <v>1969</v>
      </c>
      <c r="H38" s="1" t="s">
        <v>1970</v>
      </c>
      <c r="I38" s="8"/>
    </row>
    <row r="39" spans="1:9" ht="35.1" customHeight="1">
      <c r="A39" s="1" t="s">
        <v>1967</v>
      </c>
      <c r="B39" s="1" t="s">
        <v>1935</v>
      </c>
      <c r="C39" s="1" t="s">
        <v>1971</v>
      </c>
      <c r="D39" s="1" t="s">
        <v>1842</v>
      </c>
      <c r="E39" s="1" t="s">
        <v>1835</v>
      </c>
      <c r="F39" s="1"/>
      <c r="G39" s="8" t="s">
        <v>1972</v>
      </c>
      <c r="H39" s="1" t="s">
        <v>1939</v>
      </c>
      <c r="I39" s="8" t="s">
        <v>1973</v>
      </c>
    </row>
    <row r="40" spans="1:9" ht="35.1" customHeight="1">
      <c r="A40" s="1" t="s">
        <v>1967</v>
      </c>
      <c r="B40" s="1" t="s">
        <v>1974</v>
      </c>
      <c r="C40" s="1" t="s">
        <v>1944</v>
      </c>
      <c r="D40" s="1" t="s">
        <v>1905</v>
      </c>
      <c r="E40" s="1" t="s">
        <v>1855</v>
      </c>
      <c r="F40" s="1" t="s">
        <v>1945</v>
      </c>
      <c r="G40" s="8" t="s">
        <v>1975</v>
      </c>
      <c r="H40" s="1" t="s">
        <v>1976</v>
      </c>
      <c r="I40" s="8"/>
    </row>
    <row r="41" spans="1:9" ht="35.1" customHeight="1">
      <c r="A41" s="1" t="s">
        <v>1967</v>
      </c>
      <c r="B41" s="1" t="s">
        <v>1977</v>
      </c>
      <c r="C41" s="1" t="s">
        <v>1944</v>
      </c>
      <c r="D41" s="1" t="s">
        <v>1905</v>
      </c>
      <c r="E41" s="1" t="s">
        <v>1855</v>
      </c>
      <c r="F41" s="1" t="s">
        <v>1945</v>
      </c>
      <c r="G41" s="8" t="s">
        <v>1978</v>
      </c>
      <c r="H41" s="1" t="s">
        <v>1979</v>
      </c>
      <c r="I41" s="8" t="s">
        <v>1980</v>
      </c>
    </row>
    <row r="42" spans="1:9" ht="35.1" customHeight="1">
      <c r="A42" s="1" t="s">
        <v>1967</v>
      </c>
      <c r="B42" s="1" t="s">
        <v>1981</v>
      </c>
      <c r="C42" s="1" t="s">
        <v>1952</v>
      </c>
      <c r="D42" s="1" t="s">
        <v>1894</v>
      </c>
      <c r="E42" s="1" t="s">
        <v>1855</v>
      </c>
      <c r="F42" s="1" t="s">
        <v>1954</v>
      </c>
      <c r="G42" s="8" t="s">
        <v>1982</v>
      </c>
      <c r="H42" s="1" t="s">
        <v>1983</v>
      </c>
      <c r="I42" s="8"/>
    </row>
    <row r="43" spans="1:9" ht="35.1" customHeight="1">
      <c r="A43" s="1" t="s">
        <v>1967</v>
      </c>
      <c r="B43" s="1" t="s">
        <v>1984</v>
      </c>
      <c r="C43" s="1" t="s">
        <v>1985</v>
      </c>
      <c r="D43" s="1" t="s">
        <v>1905</v>
      </c>
      <c r="E43" s="1" t="s">
        <v>1855</v>
      </c>
      <c r="F43" s="1"/>
      <c r="G43" s="8" t="s">
        <v>1986</v>
      </c>
      <c r="H43" s="1" t="s">
        <v>1987</v>
      </c>
      <c r="I43" s="8" t="s">
        <v>1988</v>
      </c>
    </row>
    <row r="44" spans="1:9" ht="35.1" customHeight="1">
      <c r="A44" s="1" t="s">
        <v>1989</v>
      </c>
      <c r="B44" s="1" t="s">
        <v>1990</v>
      </c>
      <c r="C44" s="1" t="s">
        <v>1991</v>
      </c>
      <c r="D44" s="1" t="s">
        <v>1849</v>
      </c>
      <c r="E44" s="1" t="s">
        <v>1835</v>
      </c>
      <c r="F44" s="1" t="s">
        <v>1992</v>
      </c>
      <c r="G44" s="8" t="s">
        <v>1993</v>
      </c>
      <c r="H44" s="1" t="s">
        <v>1994</v>
      </c>
      <c r="I44" s="8"/>
    </row>
    <row r="45" spans="1:9" ht="35.1" customHeight="1">
      <c r="A45" s="1" t="s">
        <v>1989</v>
      </c>
      <c r="B45" s="1" t="s">
        <v>1995</v>
      </c>
      <c r="C45" s="1" t="s">
        <v>1996</v>
      </c>
      <c r="D45" s="1" t="s">
        <v>1866</v>
      </c>
      <c r="E45" s="1" t="s">
        <v>1855</v>
      </c>
      <c r="F45" s="1"/>
      <c r="G45" s="8" t="s">
        <v>1997</v>
      </c>
      <c r="H45" s="1" t="s">
        <v>1998</v>
      </c>
      <c r="I45" s="8" t="s">
        <v>1999</v>
      </c>
    </row>
    <row r="46" spans="1:9" ht="35.1" customHeight="1">
      <c r="A46" s="1" t="s">
        <v>2000</v>
      </c>
      <c r="B46" s="1" t="s">
        <v>1964</v>
      </c>
      <c r="C46" s="1" t="s">
        <v>2001</v>
      </c>
      <c r="D46" s="1" t="s">
        <v>1834</v>
      </c>
      <c r="E46" s="1" t="s">
        <v>1835</v>
      </c>
      <c r="F46" s="1" t="s">
        <v>1836</v>
      </c>
      <c r="G46" s="8" t="s">
        <v>2002</v>
      </c>
      <c r="H46" s="1" t="s">
        <v>1966</v>
      </c>
      <c r="I46" s="8"/>
    </row>
    <row r="47" spans="1:9" ht="35.1" customHeight="1">
      <c r="A47" s="1" t="s">
        <v>2000</v>
      </c>
      <c r="B47" s="1" t="s">
        <v>468</v>
      </c>
      <c r="C47" s="1" t="s">
        <v>2003</v>
      </c>
      <c r="D47" s="1" t="s">
        <v>2004</v>
      </c>
      <c r="E47" s="1" t="s">
        <v>1835</v>
      </c>
      <c r="F47" s="1"/>
      <c r="G47" s="8" t="s">
        <v>2005</v>
      </c>
      <c r="H47" s="1" t="s">
        <v>2006</v>
      </c>
      <c r="I47" s="8"/>
    </row>
  </sheetData>
  <mergeCells count="1">
    <mergeCell ref="A1:I1"/>
  </mergeCells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2"/>
  <sheetViews>
    <sheetView showGridLines="0" workbookViewId="0">
      <pane ySplit="13" topLeftCell="A14" activePane="bottomLeft" state="frozen"/>
      <selection pane="bottomLeft"/>
    </sheetView>
  </sheetViews>
  <sheetFormatPr defaultRowHeight="15"/>
  <cols>
    <col min="1" max="1" width="30" customWidth="1"/>
    <col min="2" max="2" width="18" customWidth="1"/>
    <col min="3" max="3" width="24" customWidth="1"/>
    <col min="4" max="4" width="16" customWidth="1"/>
    <col min="5" max="5" width="14" customWidth="1"/>
    <col min="6" max="6" width="18" customWidth="1"/>
    <col min="7" max="7" width="3" customWidth="1"/>
    <col min="8" max="10" width="15" customWidth="1"/>
  </cols>
  <sheetData>
    <row r="1" spans="1:10" ht="27.95" customHeight="1">
      <c r="A1" s="20" t="s">
        <v>2007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7" t="s">
        <v>2008</v>
      </c>
      <c r="B3" s="16"/>
      <c r="C3" s="16"/>
      <c r="D3" s="16"/>
      <c r="E3" s="1"/>
      <c r="F3" s="1"/>
      <c r="G3" s="1"/>
      <c r="H3" s="1"/>
      <c r="I3" s="1"/>
      <c r="J3" s="1"/>
    </row>
    <row r="4" spans="1:10">
      <c r="A4" s="9" t="s">
        <v>2009</v>
      </c>
      <c r="B4" s="10">
        <f>COUNTA(Requirements!A4:A76)</f>
        <v>73</v>
      </c>
      <c r="C4" s="1"/>
      <c r="D4" s="1"/>
      <c r="E4" s="1"/>
      <c r="F4" s="1"/>
      <c r="G4" s="1"/>
      <c r="H4" s="1"/>
      <c r="I4" s="1"/>
      <c r="J4" s="1"/>
    </row>
    <row r="5" spans="1:10">
      <c r="A5" s="9" t="s">
        <v>2010</v>
      </c>
      <c r="B5" s="10">
        <f>COUNTA('Task Plan'!A4:A368)</f>
        <v>365</v>
      </c>
      <c r="C5" s="1"/>
      <c r="D5" s="1"/>
      <c r="E5" s="1"/>
      <c r="F5" s="1"/>
      <c r="G5" s="1"/>
      <c r="H5" s="1"/>
      <c r="I5" s="1"/>
      <c r="J5" s="1"/>
    </row>
    <row r="6" spans="1:10">
      <c r="A6" s="9" t="s">
        <v>465</v>
      </c>
      <c r="B6" s="10">
        <f>SUM('Task Plan'!H4:H368)</f>
        <v>340.5</v>
      </c>
      <c r="C6" s="1"/>
      <c r="D6" s="1"/>
      <c r="E6" s="1"/>
      <c r="F6" s="1"/>
      <c r="G6" s="1"/>
      <c r="H6" s="1"/>
      <c r="I6" s="1"/>
      <c r="J6" s="1"/>
    </row>
    <row r="7" spans="1:10">
      <c r="A7" s="9" t="s">
        <v>470</v>
      </c>
      <c r="B7" s="10">
        <f>SUM('Task Plan'!M4:M368)</f>
        <v>0</v>
      </c>
      <c r="C7" s="1"/>
      <c r="D7" s="1"/>
      <c r="E7" s="1"/>
      <c r="F7" s="1"/>
      <c r="G7" s="1"/>
      <c r="H7" s="1"/>
      <c r="I7" s="1"/>
      <c r="J7" s="1"/>
    </row>
    <row r="8" spans="1:10">
      <c r="A8" s="9" t="s">
        <v>2011</v>
      </c>
      <c r="B8" s="11">
        <f>IFERROR(SUMPRODUCT('Task Plan'!H4:H368,'Task Plan'!L4:L368)/SUM('Task Plan'!H4:H368),0)</f>
        <v>0</v>
      </c>
      <c r="C8" s="1"/>
      <c r="D8" s="1"/>
      <c r="E8" s="1"/>
      <c r="F8" s="1"/>
      <c r="G8" s="1"/>
      <c r="H8" s="1"/>
      <c r="I8" s="1"/>
      <c r="J8" s="1"/>
    </row>
    <row r="9" spans="1:10">
      <c r="A9" s="9" t="s">
        <v>2012</v>
      </c>
      <c r="B9" s="10">
        <f>COUNTIF('Test Cases'!I4:I91,"Passed")</f>
        <v>0</v>
      </c>
      <c r="C9" s="1"/>
      <c r="D9" s="1"/>
      <c r="E9" s="1"/>
      <c r="F9" s="1"/>
      <c r="G9" s="1"/>
      <c r="H9" s="1"/>
      <c r="I9" s="1"/>
      <c r="J9" s="1"/>
    </row>
    <row r="10" spans="1:10">
      <c r="A10" s="9" t="s">
        <v>2013</v>
      </c>
      <c r="B10" s="10">
        <f>COUNTIF('Test Cases'!I4:I91,"Failed")</f>
        <v>0</v>
      </c>
      <c r="C10" s="1"/>
      <c r="D10" s="1"/>
      <c r="E10" s="1"/>
      <c r="F10" s="1"/>
      <c r="G10" s="1"/>
      <c r="H10" s="1"/>
      <c r="I10" s="1"/>
      <c r="J10" s="1"/>
    </row>
    <row r="11" spans="1:10">
      <c r="A11" s="9" t="s">
        <v>2014</v>
      </c>
      <c r="B11" s="11">
        <f>IFERROR(COUNTIF('Test Cases'!I4:I91,"Passed")/COUNTIF('Test Cases'!I4:I91,"&lt;&gt;Not Run"),0)</f>
        <v>0</v>
      </c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0" customHeight="1">
      <c r="A14" s="5" t="s">
        <v>43</v>
      </c>
      <c r="B14" s="5" t="s">
        <v>465</v>
      </c>
      <c r="C14" s="5" t="s">
        <v>2015</v>
      </c>
      <c r="D14" s="5" t="s">
        <v>469</v>
      </c>
      <c r="E14" s="5" t="s">
        <v>2016</v>
      </c>
      <c r="F14" s="5" t="s">
        <v>2017</v>
      </c>
      <c r="G14" s="1"/>
      <c r="H14" s="1"/>
      <c r="I14" s="1"/>
      <c r="J14" s="1"/>
    </row>
    <row r="15" spans="1:10">
      <c r="A15" s="1" t="s">
        <v>51</v>
      </c>
      <c r="B15" s="1">
        <f>SUMIF('Task Plan'!$C:$C,A15,'Task Plan'!$H:$H)</f>
        <v>44</v>
      </c>
      <c r="C15" s="1">
        <f>SUMPRODUCT(('Task Plan'!$C$4:$C$368=A15)*'Task Plan'!$H$4:$H$368*'Task Plan'!$L$4:$L$368)</f>
        <v>0</v>
      </c>
      <c r="D15" s="6">
        <f>IFERROR(C15/B15,0)</f>
        <v>0</v>
      </c>
      <c r="E15" s="1">
        <f>COUNTIF('Task Plan'!$C:$C,A15)</f>
        <v>50</v>
      </c>
      <c r="F15" s="1">
        <f>COUNTIFS('Task Plan'!$C:$C,A15,'Task Plan'!$K:$K,"Completed")</f>
        <v>0</v>
      </c>
      <c r="G15" s="1"/>
      <c r="H15" s="1"/>
      <c r="I15" s="1"/>
      <c r="J15" s="1"/>
    </row>
    <row r="16" spans="1:10">
      <c r="A16" s="1" t="s">
        <v>110</v>
      </c>
      <c r="B16" s="1">
        <f>SUMIF('Task Plan'!$C:$C,A16,'Task Plan'!$H:$H)</f>
        <v>37.5</v>
      </c>
      <c r="C16" s="1">
        <f>SUMPRODUCT(('Task Plan'!$C$4:$C$368=A16)*'Task Plan'!$H$4:$H$368*'Task Plan'!$L$4:$L$368)</f>
        <v>0</v>
      </c>
      <c r="D16" s="6">
        <f>IFERROR(C16/B16,0)</f>
        <v>0</v>
      </c>
      <c r="E16" s="1">
        <f>COUNTIF('Task Plan'!$C:$C,A16)</f>
        <v>40</v>
      </c>
      <c r="F16" s="1">
        <f>COUNTIFS('Task Plan'!$C:$C,A16,'Task Plan'!$K:$K,"Completed")</f>
        <v>0</v>
      </c>
      <c r="G16" s="1"/>
      <c r="H16" s="1"/>
      <c r="I16" s="1"/>
      <c r="J16" s="1"/>
    </row>
    <row r="17" spans="1:6">
      <c r="A17" s="1" t="s">
        <v>153</v>
      </c>
      <c r="B17" s="1">
        <f>SUMIF('Task Plan'!$C:$C,A17,'Task Plan'!$H:$H)</f>
        <v>32</v>
      </c>
      <c r="C17" s="1">
        <f>SUMPRODUCT(('Task Plan'!$C$4:$C$368=A17)*'Task Plan'!$H$4:$H$368*'Task Plan'!$L$4:$L$368)</f>
        <v>0</v>
      </c>
      <c r="D17" s="6">
        <f>IFERROR(C17/B17,0)</f>
        <v>0</v>
      </c>
      <c r="E17" s="1">
        <f>COUNTIF('Task Plan'!$C:$C,A17)</f>
        <v>35</v>
      </c>
      <c r="F17" s="1">
        <f>COUNTIFS('Task Plan'!$C:$C,A17,'Task Plan'!$K:$K,"Completed")</f>
        <v>0</v>
      </c>
    </row>
    <row r="18" spans="1:6">
      <c r="A18" s="1" t="s">
        <v>192</v>
      </c>
      <c r="B18" s="1">
        <f>SUMIF('Task Plan'!$C:$C,A18,'Task Plan'!$H:$H)</f>
        <v>28</v>
      </c>
      <c r="C18" s="1">
        <f>SUMPRODUCT(('Task Plan'!$C$4:$C$368=A18)*'Task Plan'!$H$4:$H$368*'Task Plan'!$L$4:$L$368)</f>
        <v>0</v>
      </c>
      <c r="D18" s="6">
        <f>IFERROR(C18/B18,0)</f>
        <v>0</v>
      </c>
      <c r="E18" s="1">
        <f>COUNTIF('Task Plan'!$C:$C,A18)</f>
        <v>30</v>
      </c>
      <c r="F18" s="1">
        <f>COUNTIFS('Task Plan'!$C:$C,A18,'Task Plan'!$K:$K,"Completed")</f>
        <v>0</v>
      </c>
    </row>
    <row r="19" spans="1:6">
      <c r="A19" s="1" t="s">
        <v>224</v>
      </c>
      <c r="B19" s="1">
        <f>SUMIF('Task Plan'!$C:$C,A19,'Task Plan'!$H:$H)</f>
        <v>29</v>
      </c>
      <c r="C19" s="1">
        <f>SUMPRODUCT(('Task Plan'!$C$4:$C$368=A19)*'Task Plan'!$H$4:$H$368*'Task Plan'!$L$4:$L$368)</f>
        <v>0</v>
      </c>
      <c r="D19" s="6">
        <f>IFERROR(C19/B19,0)</f>
        <v>0</v>
      </c>
      <c r="E19" s="1">
        <f>COUNTIF('Task Plan'!$C:$C,A19)</f>
        <v>30</v>
      </c>
      <c r="F19" s="1">
        <f>COUNTIFS('Task Plan'!$C:$C,A19,'Task Plan'!$K:$K,"Completed")</f>
        <v>0</v>
      </c>
    </row>
    <row r="20" spans="1:6">
      <c r="A20" s="1" t="s">
        <v>255</v>
      </c>
      <c r="B20" s="1">
        <f>SUMIF('Task Plan'!$C:$C,A20,'Task Plan'!$H:$H)</f>
        <v>22</v>
      </c>
      <c r="C20" s="1">
        <f>SUMPRODUCT(('Task Plan'!$C$4:$C$368=A20)*'Task Plan'!$H$4:$H$368*'Task Plan'!$L$4:$L$368)</f>
        <v>0</v>
      </c>
      <c r="D20" s="6">
        <f>IFERROR(C20/B20,0)</f>
        <v>0</v>
      </c>
      <c r="E20" s="1">
        <f>COUNTIF('Task Plan'!$C:$C,A20)</f>
        <v>25</v>
      </c>
      <c r="F20" s="1">
        <f>COUNTIFS('Task Plan'!$C:$C,A20,'Task Plan'!$K:$K,"Completed")</f>
        <v>0</v>
      </c>
    </row>
    <row r="21" spans="1:6">
      <c r="A21" s="1" t="s">
        <v>281</v>
      </c>
      <c r="B21" s="1">
        <f>SUMIF('Task Plan'!$C:$C,A21,'Task Plan'!$H:$H)</f>
        <v>44</v>
      </c>
      <c r="C21" s="1">
        <f>SUMPRODUCT(('Task Plan'!$C$4:$C$368=A21)*'Task Plan'!$H$4:$H$368*'Task Plan'!$L$4:$L$368)</f>
        <v>0</v>
      </c>
      <c r="D21" s="6">
        <f>IFERROR(C21/B21,0)</f>
        <v>0</v>
      </c>
      <c r="E21" s="1">
        <f>COUNTIF('Task Plan'!$C:$C,A21)</f>
        <v>45</v>
      </c>
      <c r="F21" s="1">
        <f>COUNTIFS('Task Plan'!$C:$C,A21,'Task Plan'!$K:$K,"Completed")</f>
        <v>0</v>
      </c>
    </row>
    <row r="22" spans="1:6">
      <c r="A22" s="1" t="s">
        <v>333</v>
      </c>
      <c r="B22" s="1">
        <f>SUMIF('Task Plan'!$C:$C,A22,'Task Plan'!$H:$H)</f>
        <v>43.5</v>
      </c>
      <c r="C22" s="1">
        <f>SUMPRODUCT(('Task Plan'!$C$4:$C$368=A22)*'Task Plan'!$H$4:$H$368*'Task Plan'!$L$4:$L$368)</f>
        <v>0</v>
      </c>
      <c r="D22" s="6">
        <f>IFERROR(C22/B22,0)</f>
        <v>0</v>
      </c>
      <c r="E22" s="1">
        <f>COUNTIF('Task Plan'!$C:$C,A22)</f>
        <v>45</v>
      </c>
      <c r="F22" s="1">
        <f>COUNTIFS('Task Plan'!$C:$C,A22,'Task Plan'!$K:$K,"Completed")</f>
        <v>0</v>
      </c>
    </row>
    <row r="23" spans="1:6">
      <c r="A23" s="1" t="s">
        <v>387</v>
      </c>
      <c r="B23" s="1">
        <f>SUMIF('Task Plan'!$C:$C,A23,'Task Plan'!$H:$H)</f>
        <v>28.5</v>
      </c>
      <c r="C23" s="1">
        <f>SUMPRODUCT(('Task Plan'!$C$4:$C$368=A23)*'Task Plan'!$H$4:$H$368*'Task Plan'!$L$4:$L$368)</f>
        <v>0</v>
      </c>
      <c r="D23" s="6">
        <f>IFERROR(C23/B23,0)</f>
        <v>0</v>
      </c>
      <c r="E23" s="1">
        <f>COUNTIF('Task Plan'!$C:$C,A23)</f>
        <v>30</v>
      </c>
      <c r="F23" s="1">
        <f>COUNTIFS('Task Plan'!$C:$C,A23,'Task Plan'!$K:$K,"Completed")</f>
        <v>0</v>
      </c>
    </row>
    <row r="24" spans="1:6">
      <c r="A24" s="1" t="s">
        <v>420</v>
      </c>
      <c r="B24" s="1">
        <f>SUMIF('Task Plan'!$C:$C,A24,'Task Plan'!$H:$H)</f>
        <v>32</v>
      </c>
      <c r="C24" s="1">
        <f>SUMPRODUCT(('Task Plan'!$C$4:$C$368=A24)*'Task Plan'!$H$4:$H$368*'Task Plan'!$L$4:$L$368)</f>
        <v>0</v>
      </c>
      <c r="D24" s="6">
        <f>IFERROR(C24/B24,0)</f>
        <v>0</v>
      </c>
      <c r="E24" s="1">
        <f>COUNTIF('Task Plan'!$C:$C,A24)</f>
        <v>35</v>
      </c>
      <c r="F24" s="1">
        <f>COUNTIFS('Task Plan'!$C:$C,A24,'Task Plan'!$K:$K,"Completed")</f>
        <v>0</v>
      </c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 ht="30" customHeight="1">
      <c r="A28" s="5" t="s">
        <v>2018</v>
      </c>
      <c r="B28" s="5" t="s">
        <v>2019</v>
      </c>
      <c r="C28" s="1"/>
      <c r="D28" s="1"/>
      <c r="E28" s="1"/>
      <c r="F28" s="1"/>
    </row>
    <row r="29" spans="1:6">
      <c r="A29" s="1" t="s">
        <v>1519</v>
      </c>
      <c r="B29" s="1">
        <f>COUNTIF('Test Cases'!$I:$I,A29)</f>
        <v>88</v>
      </c>
      <c r="C29" s="1"/>
      <c r="D29" s="1"/>
      <c r="E29" s="1"/>
      <c r="F29" s="1"/>
    </row>
    <row r="30" spans="1:6">
      <c r="A30" s="1" t="s">
        <v>2020</v>
      </c>
      <c r="B30" s="1">
        <f>COUNTIF('Test Cases'!$I:$I,A30)</f>
        <v>0</v>
      </c>
      <c r="C30" s="1"/>
      <c r="D30" s="1"/>
      <c r="E30" s="1"/>
      <c r="F30" s="1"/>
    </row>
    <row r="31" spans="1:6">
      <c r="A31" s="1" t="s">
        <v>2021</v>
      </c>
      <c r="B31" s="1">
        <f>COUNTIF('Test Cases'!$I:$I,A31)</f>
        <v>0</v>
      </c>
      <c r="C31" s="1"/>
      <c r="D31" s="1"/>
      <c r="E31" s="1"/>
      <c r="F31" s="1"/>
    </row>
    <row r="32" spans="1:6">
      <c r="A32" s="1" t="s">
        <v>2022</v>
      </c>
      <c r="B32" s="1">
        <f>COUNTIF('Test Cases'!$I:$I,A32)</f>
        <v>0</v>
      </c>
      <c r="C32" s="1"/>
      <c r="D32" s="1"/>
      <c r="E32" s="1"/>
      <c r="F32" s="1"/>
    </row>
  </sheetData>
  <mergeCells count="2">
    <mergeCell ref="A1:J1"/>
    <mergeCell ref="A3:D3"/>
  </mergeCells>
  <pageMargins left="0.75" right="0.75" top="1" bottom="1" header="0.5" footer="0.5"/>
  <pageSetup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1" customWidth="1"/>
    <col min="2" max="2" width="14" customWidth="1"/>
    <col min="3" max="3" width="24" customWidth="1"/>
    <col min="4" max="4" width="30" customWidth="1"/>
    <col min="5" max="5" width="32" customWidth="1"/>
    <col min="6" max="6" width="50" customWidth="1"/>
    <col min="7" max="8" width="14" customWidth="1"/>
    <col min="9" max="9" width="30" customWidth="1"/>
  </cols>
  <sheetData>
    <row r="1" spans="1:9" ht="27.95" customHeight="1">
      <c r="A1" s="20" t="s">
        <v>2023</v>
      </c>
      <c r="B1" s="16"/>
      <c r="C1" s="16"/>
      <c r="D1" s="16"/>
      <c r="E1" s="16"/>
      <c r="F1" s="16"/>
      <c r="G1" s="16"/>
      <c r="H1" s="16"/>
      <c r="I1" s="1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30" customHeight="1">
      <c r="A3" s="5" t="s">
        <v>2024</v>
      </c>
      <c r="B3" s="5" t="s">
        <v>2025</v>
      </c>
      <c r="C3" s="5" t="s">
        <v>43</v>
      </c>
      <c r="D3" s="5" t="s">
        <v>2026</v>
      </c>
      <c r="E3" s="5" t="s">
        <v>2027</v>
      </c>
      <c r="F3" s="5" t="s">
        <v>2028</v>
      </c>
      <c r="G3" s="5" t="s">
        <v>2029</v>
      </c>
      <c r="H3" s="5" t="s">
        <v>468</v>
      </c>
      <c r="I3" s="5" t="s">
        <v>2030</v>
      </c>
    </row>
    <row r="4" spans="1:9" ht="48" customHeight="1">
      <c r="A4" s="1" t="s">
        <v>2031</v>
      </c>
      <c r="B4" s="1" t="s">
        <v>2032</v>
      </c>
      <c r="C4" s="1" t="s">
        <v>51</v>
      </c>
      <c r="D4" s="3" t="s">
        <v>2033</v>
      </c>
      <c r="E4" s="3" t="s">
        <v>2034</v>
      </c>
      <c r="F4" s="3" t="s">
        <v>2035</v>
      </c>
      <c r="G4" s="1" t="s">
        <v>2036</v>
      </c>
      <c r="H4" s="1" t="s">
        <v>2037</v>
      </c>
      <c r="I4" s="3"/>
    </row>
    <row r="5" spans="1:9" ht="48" customHeight="1">
      <c r="A5" s="1" t="s">
        <v>2038</v>
      </c>
      <c r="B5" s="1" t="s">
        <v>2032</v>
      </c>
      <c r="C5" s="1" t="s">
        <v>153</v>
      </c>
      <c r="D5" s="3" t="s">
        <v>2039</v>
      </c>
      <c r="E5" s="3" t="s">
        <v>2040</v>
      </c>
      <c r="F5" s="3" t="s">
        <v>2041</v>
      </c>
      <c r="G5" s="1" t="s">
        <v>2036</v>
      </c>
      <c r="H5" s="1" t="s">
        <v>2037</v>
      </c>
      <c r="I5" s="3"/>
    </row>
    <row r="6" spans="1:9" ht="48" customHeight="1">
      <c r="A6" s="1" t="s">
        <v>2042</v>
      </c>
      <c r="B6" s="1" t="s">
        <v>2032</v>
      </c>
      <c r="C6" s="1" t="s">
        <v>281</v>
      </c>
      <c r="D6" s="3" t="s">
        <v>2043</v>
      </c>
      <c r="E6" s="3" t="s">
        <v>2044</v>
      </c>
      <c r="F6" s="3" t="s">
        <v>2045</v>
      </c>
      <c r="G6" s="1" t="s">
        <v>2036</v>
      </c>
      <c r="H6" s="1" t="s">
        <v>2037</v>
      </c>
      <c r="I6" s="3"/>
    </row>
    <row r="7" spans="1:9" ht="48" customHeight="1">
      <c r="A7" s="1" t="s">
        <v>2046</v>
      </c>
      <c r="B7" s="1" t="s">
        <v>2032</v>
      </c>
      <c r="C7" s="1" t="s">
        <v>333</v>
      </c>
      <c r="D7" s="3" t="s">
        <v>2047</v>
      </c>
      <c r="E7" s="3" t="s">
        <v>2048</v>
      </c>
      <c r="F7" s="3" t="s">
        <v>2049</v>
      </c>
      <c r="G7" s="1" t="s">
        <v>2036</v>
      </c>
      <c r="H7" s="1" t="s">
        <v>2037</v>
      </c>
      <c r="I7" s="3"/>
    </row>
    <row r="8" spans="1:9" ht="48" customHeight="1">
      <c r="A8" s="1" t="s">
        <v>2050</v>
      </c>
      <c r="B8" s="1" t="s">
        <v>2032</v>
      </c>
      <c r="C8" s="1" t="s">
        <v>110</v>
      </c>
      <c r="D8" s="3" t="s">
        <v>2051</v>
      </c>
      <c r="E8" s="3" t="s">
        <v>2052</v>
      </c>
      <c r="F8" s="3" t="s">
        <v>2053</v>
      </c>
      <c r="G8" s="1" t="s">
        <v>2036</v>
      </c>
      <c r="H8" s="1" t="s">
        <v>2037</v>
      </c>
      <c r="I8" s="3"/>
    </row>
    <row r="9" spans="1:9" ht="48" customHeight="1">
      <c r="A9" s="1" t="s">
        <v>2054</v>
      </c>
      <c r="B9" s="1" t="s">
        <v>2055</v>
      </c>
      <c r="C9" s="1" t="s">
        <v>2056</v>
      </c>
      <c r="D9" s="3" t="s">
        <v>2057</v>
      </c>
      <c r="E9" s="3" t="s">
        <v>2058</v>
      </c>
      <c r="F9" s="3" t="s">
        <v>2059</v>
      </c>
      <c r="G9" s="1" t="s">
        <v>2036</v>
      </c>
      <c r="H9" s="1" t="s">
        <v>2060</v>
      </c>
      <c r="I9" s="3"/>
    </row>
    <row r="10" spans="1:9" ht="48" customHeight="1">
      <c r="A10" s="1" t="s">
        <v>2061</v>
      </c>
      <c r="B10" s="1" t="s">
        <v>2062</v>
      </c>
      <c r="C10" s="1" t="s">
        <v>224</v>
      </c>
      <c r="D10" s="3" t="s">
        <v>2063</v>
      </c>
      <c r="E10" s="3" t="s">
        <v>2064</v>
      </c>
      <c r="F10" s="3" t="s">
        <v>2065</v>
      </c>
      <c r="G10" s="1" t="s">
        <v>2036</v>
      </c>
      <c r="H10" s="1" t="s">
        <v>2060</v>
      </c>
      <c r="I10" s="3"/>
    </row>
    <row r="11" spans="1:9" ht="48" customHeight="1">
      <c r="A11" s="1" t="s">
        <v>2066</v>
      </c>
      <c r="B11" s="1" t="s">
        <v>2062</v>
      </c>
      <c r="C11" s="1" t="s">
        <v>51</v>
      </c>
      <c r="D11" s="3" t="s">
        <v>2067</v>
      </c>
      <c r="E11" s="3" t="s">
        <v>2068</v>
      </c>
      <c r="F11" s="3" t="s">
        <v>2069</v>
      </c>
      <c r="G11" s="1" t="s">
        <v>2036</v>
      </c>
      <c r="H11" s="1" t="s">
        <v>2060</v>
      </c>
      <c r="I11" s="3"/>
    </row>
  </sheetData>
  <mergeCells count="1">
    <mergeCell ref="A1:I1"/>
  </mergeCells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7"/>
  <sheetViews>
    <sheetView showGridLines="0" workbookViewId="0"/>
  </sheetViews>
  <sheetFormatPr defaultRowHeight="15"/>
  <cols>
    <col min="1" max="1" width="27" customWidth="1"/>
    <col min="2" max="6" width="22" customWidth="1"/>
  </cols>
  <sheetData>
    <row r="1" spans="1:6" ht="27.95" customHeight="1">
      <c r="A1" s="20" t="s">
        <v>2070</v>
      </c>
      <c r="B1" s="16"/>
      <c r="C1" s="16"/>
      <c r="D1" s="16"/>
      <c r="E1" s="16"/>
      <c r="F1" s="16"/>
    </row>
    <row r="2" spans="1:6">
      <c r="A2" s="1"/>
      <c r="B2" s="1"/>
      <c r="C2" s="1"/>
      <c r="D2" s="1"/>
      <c r="E2" s="1"/>
      <c r="F2" s="1"/>
    </row>
    <row r="3" spans="1:6">
      <c r="A3" s="9" t="s">
        <v>2071</v>
      </c>
      <c r="B3" s="16" t="s">
        <v>2072</v>
      </c>
      <c r="C3" s="16"/>
      <c r="D3" s="16"/>
      <c r="E3" s="16"/>
      <c r="F3" s="16"/>
    </row>
    <row r="4" spans="1:6">
      <c r="A4" s="1"/>
      <c r="B4" s="1"/>
      <c r="C4" s="1"/>
      <c r="D4" s="1"/>
      <c r="E4" s="1"/>
      <c r="F4" s="1"/>
    </row>
    <row r="5" spans="1:6">
      <c r="A5" s="17" t="s">
        <v>2073</v>
      </c>
      <c r="B5" s="16"/>
      <c r="C5" s="16"/>
      <c r="D5" s="16"/>
      <c r="E5" s="16"/>
      <c r="F5" s="16"/>
    </row>
    <row r="6" spans="1:6" ht="42" customHeight="1">
      <c r="A6" s="19" t="s">
        <v>2074</v>
      </c>
      <c r="B6" s="16"/>
      <c r="C6" s="16"/>
      <c r="D6" s="16"/>
      <c r="E6" s="16"/>
      <c r="F6" s="16"/>
    </row>
    <row r="7" spans="1:6" ht="42" customHeight="1">
      <c r="A7" s="19" t="s">
        <v>2075</v>
      </c>
      <c r="B7" s="16"/>
      <c r="C7" s="16"/>
      <c r="D7" s="16"/>
      <c r="E7" s="16"/>
      <c r="F7" s="16"/>
    </row>
    <row r="8" spans="1:6" ht="42" customHeight="1">
      <c r="A8" s="19" t="s">
        <v>2076</v>
      </c>
      <c r="B8" s="16"/>
      <c r="C8" s="16"/>
      <c r="D8" s="16"/>
      <c r="E8" s="16"/>
      <c r="F8" s="16"/>
    </row>
    <row r="9" spans="1:6" ht="42" customHeight="1">
      <c r="A9" s="19" t="s">
        <v>2077</v>
      </c>
      <c r="B9" s="16"/>
      <c r="C9" s="16"/>
      <c r="D9" s="16"/>
      <c r="E9" s="16"/>
      <c r="F9" s="16"/>
    </row>
    <row r="10" spans="1:6" ht="42" customHeight="1">
      <c r="A10" s="19" t="s">
        <v>2078</v>
      </c>
      <c r="B10" s="16"/>
      <c r="C10" s="16"/>
      <c r="D10" s="16"/>
      <c r="E10" s="16"/>
      <c r="F10" s="16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21" t="s">
        <v>2079</v>
      </c>
      <c r="B13" s="16"/>
      <c r="C13" s="16"/>
      <c r="D13" s="16"/>
      <c r="E13" s="16"/>
      <c r="F13" s="16"/>
    </row>
    <row r="14" spans="1:6">
      <c r="A14" s="16" t="s">
        <v>2080</v>
      </c>
      <c r="B14" s="16"/>
      <c r="C14" s="16"/>
      <c r="D14" s="16"/>
      <c r="E14" s="16"/>
      <c r="F14" s="16"/>
    </row>
    <row r="15" spans="1:6">
      <c r="A15" s="16" t="s">
        <v>2081</v>
      </c>
      <c r="B15" s="16"/>
      <c r="C15" s="16"/>
      <c r="D15" s="16"/>
      <c r="E15" s="16"/>
      <c r="F15" s="16"/>
    </row>
    <row r="16" spans="1:6">
      <c r="A16" s="16" t="s">
        <v>2082</v>
      </c>
      <c r="B16" s="16"/>
      <c r="C16" s="16"/>
      <c r="D16" s="16"/>
      <c r="E16" s="16"/>
      <c r="F16" s="16"/>
    </row>
    <row r="17" spans="1:6">
      <c r="A17" s="16" t="s">
        <v>2083</v>
      </c>
      <c r="B17" s="16"/>
      <c r="C17" s="16"/>
      <c r="D17" s="16"/>
      <c r="E17" s="16"/>
      <c r="F17" s="16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8" t="s">
        <v>2084</v>
      </c>
      <c r="B20" s="16"/>
      <c r="C20" s="16"/>
      <c r="D20" s="16"/>
      <c r="E20" s="16"/>
      <c r="F20" s="16"/>
    </row>
    <row r="21" spans="1:6">
      <c r="A21" s="16" t="s">
        <v>2085</v>
      </c>
      <c r="B21" s="16"/>
      <c r="C21" s="16"/>
      <c r="D21" s="16"/>
      <c r="E21" s="16"/>
      <c r="F21" s="16"/>
    </row>
    <row r="22" spans="1:6">
      <c r="A22" s="16" t="s">
        <v>2086</v>
      </c>
      <c r="B22" s="16"/>
      <c r="C22" s="16"/>
      <c r="D22" s="16"/>
      <c r="E22" s="16"/>
      <c r="F22" s="16"/>
    </row>
    <row r="23" spans="1:6">
      <c r="A23" s="16" t="s">
        <v>2087</v>
      </c>
      <c r="B23" s="16"/>
      <c r="C23" s="16"/>
      <c r="D23" s="16"/>
      <c r="E23" s="16"/>
      <c r="F23" s="16"/>
    </row>
    <row r="24" spans="1:6">
      <c r="A24" s="16" t="s">
        <v>2088</v>
      </c>
      <c r="B24" s="16"/>
      <c r="C24" s="16"/>
      <c r="D24" s="16"/>
      <c r="E24" s="16"/>
      <c r="F24" s="16"/>
    </row>
    <row r="25" spans="1:6">
      <c r="A25" s="16" t="s">
        <v>2089</v>
      </c>
      <c r="B25" s="16"/>
      <c r="C25" s="16"/>
      <c r="D25" s="16"/>
      <c r="E25" s="16"/>
      <c r="F25" s="16"/>
    </row>
    <row r="26" spans="1:6">
      <c r="A26" s="16" t="s">
        <v>2090</v>
      </c>
      <c r="B26" s="16"/>
      <c r="C26" s="16"/>
      <c r="D26" s="16"/>
      <c r="E26" s="16"/>
      <c r="F26" s="16"/>
    </row>
    <row r="27" spans="1:6">
      <c r="A27" s="16" t="s">
        <v>2091</v>
      </c>
      <c r="B27" s="16"/>
      <c r="C27" s="16"/>
      <c r="D27" s="16"/>
      <c r="E27" s="16"/>
      <c r="F27" s="16"/>
    </row>
  </sheetData>
  <mergeCells count="21">
    <mergeCell ref="A27:F27"/>
    <mergeCell ref="A26:F26"/>
    <mergeCell ref="A21:F21"/>
    <mergeCell ref="A14:F14"/>
    <mergeCell ref="A5:F5"/>
    <mergeCell ref="A23:F23"/>
    <mergeCell ref="A8:F8"/>
    <mergeCell ref="A22:F22"/>
    <mergeCell ref="A17:F17"/>
    <mergeCell ref="A20:F20"/>
    <mergeCell ref="A10:F10"/>
    <mergeCell ref="A13:F13"/>
    <mergeCell ref="A9:F9"/>
    <mergeCell ref="A15:F15"/>
    <mergeCell ref="A24:F24"/>
    <mergeCell ref="A1:F1"/>
    <mergeCell ref="A6:F6"/>
    <mergeCell ref="A7:F7"/>
    <mergeCell ref="A25:F25"/>
    <mergeCell ref="A16:F16"/>
    <mergeCell ref="B3:F3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Mukesh Karthikeyan</dc:creator>
  <cp:keywords/>
  <dc:description/>
  <cp:lastModifiedBy/>
  <cp:revision/>
  <dcterms:created xsi:type="dcterms:W3CDTF">2026-08-31T07:03:21Z</dcterms:created>
  <dcterms:modified xsi:type="dcterms:W3CDTF">2026-08-31T11:58:08Z</dcterms:modified>
  <cp:category/>
  <cp:contentStatus/>
</cp:coreProperties>
</file>